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ntradas" sheetId="2" r:id="rId6"/>
    <sheet state="visible" name="Saidas" sheetId="3" r:id="rId7"/>
    <sheet state="visible" name="Comissoes" sheetId="4" r:id="rId8"/>
    <sheet state="hidden" name="DRE" sheetId="5" r:id="rId9"/>
    <sheet state="visible" name="Contas a Pagar" sheetId="6" r:id="rId10"/>
    <sheet state="visible" name="Contas a Receber" sheetId="7" r:id="rId11"/>
    <sheet state="visible" name="Custos Fixos" sheetId="8" r:id="rId12"/>
    <sheet state="hidden" name="Impostos" sheetId="9" r:id="rId13"/>
    <sheet state="visible" name="Guia de Uso" sheetId="10" r:id="rId14"/>
  </sheets>
  <definedNames>
    <definedName hidden="1" localSheetId="0" name="_xlnm._FilterDatabase">Dashboard!$A$8:$H$19</definedName>
  </definedNames>
  <calcPr/>
</workbook>
</file>

<file path=xl/sharedStrings.xml><?xml version="1.0" encoding="utf-8"?>
<sst xmlns="http://schemas.openxmlformats.org/spreadsheetml/2006/main" count="1339" uniqueCount="543">
  <si>
    <t>GESTAO FINANCEIRA — RE9 IMOB</t>
  </si>
  <si>
    <t>REGISTRO DE ENTRADAS — RECEITAS</t>
  </si>
  <si>
    <t>REGISTRO DE SAIDAS — DESPESAS</t>
  </si>
  <si>
    <t>Atualizado automaticamente com base nas abas Entradas, Saidas e Custos Fixos</t>
  </si>
  <si>
    <t>Registre toda receita recebida. Preencha sempre a Categoria para o DRE funcionar.</t>
  </si>
  <si>
    <t>Registre toda despesa variavel. Categorias: Marketing | Alimentação | Transporte | Software | Equipamento | Outros</t>
  </si>
  <si>
    <t>Data</t>
  </si>
  <si>
    <t>Descricao</t>
  </si>
  <si>
    <t>Cliente</t>
  </si>
  <si>
    <t>COMISSOES A RECEBER — CONTROLE COMPLETO</t>
  </si>
  <si>
    <t>Categoria</t>
  </si>
  <si>
    <t>Parcela</t>
  </si>
  <si>
    <t>Conta</t>
  </si>
  <si>
    <t>Valor (R$)</t>
  </si>
  <si>
    <t>Observacoes</t>
  </si>
  <si>
    <t>Pago a / Fornecedor</t>
  </si>
  <si>
    <t>RESUMO ACUMULADO — 2026</t>
  </si>
  <si>
    <t>Forma Pgto</t>
  </si>
  <si>
    <t>Comprovante</t>
  </si>
  <si>
    <t>Comissão 3 Vendas Soraya (Vista di Mari 1303, 1213 / MLar Cambeba 705) — Pt1</t>
  </si>
  <si>
    <t>Vista di Mari</t>
  </si>
  <si>
    <t>Pago?</t>
  </si>
  <si>
    <t>Comissão</t>
  </si>
  <si>
    <t>Col G: imposto retido por cada construtora  |  Col O: Simples (3,53% fixo)  |  Col P: 10,49% − G  |  Col Q: Valor Bruto × P</t>
  </si>
  <si>
    <t>Total Entradas</t>
  </si>
  <si>
    <t>1/2</t>
  </si>
  <si>
    <t>Compra 06 cabecas de carregadores</t>
  </si>
  <si>
    <t>Total Saidas</t>
  </si>
  <si>
    <t>Reno PF</t>
  </si>
  <si>
    <t>Amazon</t>
  </si>
  <si>
    <t>Equipamento</t>
  </si>
  <si>
    <t>Cartão</t>
  </si>
  <si>
    <t>Custos Fixos Acum.</t>
  </si>
  <si>
    <t>Lucro Liquido</t>
  </si>
  <si>
    <t>Margem Liquida</t>
  </si>
  <si>
    <t>Corretor</t>
  </si>
  <si>
    <t>Comissão 3 Vendas Soraya (Vista di Mari 1303, 1213 / MLar Cambeba 705) — Pt2</t>
  </si>
  <si>
    <t>Pago - Comprovante - compra de 06 cabeças de carregadores.jpeg</t>
  </si>
  <si>
    <t>2/2</t>
  </si>
  <si>
    <t>Empreendimento</t>
  </si>
  <si>
    <t>Valor Imóvel</t>
  </si>
  <si>
    <t>Comissão (%)</t>
  </si>
  <si>
    <t>Valor Bruto</t>
  </si>
  <si>
    <t>Imposto (Aliq)</t>
  </si>
  <si>
    <t>Valor Líquido</t>
  </si>
  <si>
    <t>Valor Corretor</t>
  </si>
  <si>
    <t>Valor RE9</t>
  </si>
  <si>
    <t>Data Recebimento</t>
  </si>
  <si>
    <t>Sim</t>
  </si>
  <si>
    <t>Recebido?</t>
  </si>
  <si>
    <t>Aporte Reno</t>
  </si>
  <si>
    <t>Corretor Pago?</t>
  </si>
  <si>
    <t>Repasse RE9?</t>
  </si>
  <si>
    <t>Reno</t>
  </si>
  <si>
    <t>Outros</t>
  </si>
  <si>
    <t>Imposto a Pagar (%)</t>
  </si>
  <si>
    <t>—</t>
  </si>
  <si>
    <t>Imposto a Pagar (R$)</t>
  </si>
  <si>
    <t>C6 — RE9 Imob</t>
  </si>
  <si>
    <t>Soraya</t>
  </si>
  <si>
    <t>Aporte sócio</t>
  </si>
  <si>
    <t>Nonato Gabriel Figueira</t>
  </si>
  <si>
    <t>Saldo Meta — Bella Aldeota e Bella Rio</t>
  </si>
  <si>
    <t>Tenda — Vista di Mari (1303)</t>
  </si>
  <si>
    <t>Meta</t>
  </si>
  <si>
    <t>Marketing</t>
  </si>
  <si>
    <t>Pix</t>
  </si>
  <si>
    <t>Comissão Venda Reno — Vibe Meireles Ap. 2103</t>
  </si>
  <si>
    <t>Vibe Meireles</t>
  </si>
  <si>
    <t>1/1</t>
  </si>
  <si>
    <t>Pago - Saldo Campanha - Bella Aldeota e Bella Rio.jpeg</t>
  </si>
  <si>
    <t>Corretor: Reno</t>
  </si>
  <si>
    <t>Bonus Venda Reno — Bella Aldeota (Mateus J.)</t>
  </si>
  <si>
    <t>RESULTADO POR MES</t>
  </si>
  <si>
    <t>Bella Aldeota</t>
  </si>
  <si>
    <t>Não</t>
  </si>
  <si>
    <t>Mes</t>
  </si>
  <si>
    <t>Entradas (R$)</t>
  </si>
  <si>
    <t>Saidas (R$)</t>
  </si>
  <si>
    <t>Custos Fixos (R$)</t>
  </si>
  <si>
    <t>Resultado (R$)</t>
  </si>
  <si>
    <t>Margem (%)</t>
  </si>
  <si>
    <t>Saldo Meta — BSWave e Maré</t>
  </si>
  <si>
    <t>Abril/26</t>
  </si>
  <si>
    <t>Comissão Venda Reno — Bella Aldeota (Mateus J.)</t>
  </si>
  <si>
    <t>Pago - Saldo Campanha - BS Wave e Mare.jpeg</t>
  </si>
  <si>
    <t>Clemilton Lima de Souza</t>
  </si>
  <si>
    <t>Tenda — Vista di Mari (1213)</t>
  </si>
  <si>
    <t>Comissão Venda Reno - Maré - Beatriz</t>
  </si>
  <si>
    <t>Maré</t>
  </si>
  <si>
    <t>Saldo Meta — MLar Cambeba e Lago</t>
  </si>
  <si>
    <t>André</t>
  </si>
  <si>
    <t>Lucirene Souza</t>
  </si>
  <si>
    <t>MLar Kennedy — Bônus R$5.000</t>
  </si>
  <si>
    <t>Pago - Saldo Campanha - MLar Cambeba e Lago.jpeg</t>
  </si>
  <si>
    <t>Comissão Venda Reno - MLar Kennedy - Lia e Jonathan</t>
  </si>
  <si>
    <t>MLar Kennedy</t>
  </si>
  <si>
    <t>Maio/26</t>
  </si>
  <si>
    <t>Saldo Google — GAds Internacional</t>
  </si>
  <si>
    <t>Comissão Venda Reno - MLar  - Rafael Herminio</t>
  </si>
  <si>
    <t>MLar Kennedy — Apto 1106 Torre Due</t>
  </si>
  <si>
    <t>Google</t>
  </si>
  <si>
    <t>Mlar Jacarey</t>
  </si>
  <si>
    <t>Pago - Saldo Campanha - GAds Internacional.jpeg</t>
  </si>
  <si>
    <t>Bonus Venda Reno - MLar Kennedy - Lia e Jonathan</t>
  </si>
  <si>
    <t>Luana</t>
  </si>
  <si>
    <t>MLar Cambeba — Apto. 1104 Torre Due</t>
  </si>
  <si>
    <t>Comissão Venda Reno - Gilson - Beatriz</t>
  </si>
  <si>
    <t>Compra 08 cabos carregadores + Régua</t>
  </si>
  <si>
    <t>Vinicius</t>
  </si>
  <si>
    <t>MLar Cambeba — Apto. 905 Torre Due</t>
  </si>
  <si>
    <t>Junho/26</t>
  </si>
  <si>
    <t xml:space="preserve">Comissão Venda Reno — Bella Aldeota </t>
  </si>
  <si>
    <t>Compra 10 suportes de celulares</t>
  </si>
  <si>
    <t>Mercado Livre</t>
  </si>
  <si>
    <t>10 suportes de celulares.jpeg</t>
  </si>
  <si>
    <t>Lucas</t>
  </si>
  <si>
    <t>Juliana Pontes</t>
  </si>
  <si>
    <t>MLar Cambeba — Apto. 705</t>
  </si>
  <si>
    <t>R$ 6.486,58</t>
  </si>
  <si>
    <t>Rafael Hermínio</t>
  </si>
  <si>
    <t>Comissão Venda Reno — Maré (Mara)</t>
  </si>
  <si>
    <t>MLar Jacarey — 808 Torre Blues</t>
  </si>
  <si>
    <t>Julho/26</t>
  </si>
  <si>
    <t>Saldo Google — GAds Fortaleza RE9 Imob</t>
  </si>
  <si>
    <t>Pago - Saldo Campanha - GAds Fortaleza.png</t>
  </si>
  <si>
    <t>Comissão Venda Reno — Bella Aldeota (Jaime)</t>
  </si>
  <si>
    <t>Rafael Ditolvo</t>
  </si>
  <si>
    <t>Bella Aldeota — 601 Torre 2</t>
  </si>
  <si>
    <t>Investimento Tráfego - PraMorar</t>
  </si>
  <si>
    <t>Pago - Saldo Campanha - Meta MLar Cambeba e Lago.png</t>
  </si>
  <si>
    <t>Agosto/26</t>
  </si>
  <si>
    <t>Comissão Viva Vida</t>
  </si>
  <si>
    <t>Viva Vida Sul</t>
  </si>
  <si>
    <t>Saldo Meta — Atlântico, Orizon e Seano</t>
  </si>
  <si>
    <t>Marcio Anderson</t>
  </si>
  <si>
    <t>Bella Aldeota — 1306 Torre 1</t>
  </si>
  <si>
    <t>Pago - Saldo Meta - AtlanticoSeanoOrizon - Maio26.pdf</t>
  </si>
  <si>
    <t>Bella Aldeota - Investimento</t>
  </si>
  <si>
    <t>Investimento</t>
  </si>
  <si>
    <t>Setembro/26</t>
  </si>
  <si>
    <t>Beatriz Dias</t>
  </si>
  <si>
    <t>Maré (Marquise)</t>
  </si>
  <si>
    <t>Pago - Saldo Meta - Bella Aldeota e Bella Rio - Maio26.pdf</t>
  </si>
  <si>
    <t>Bonus - Gilson</t>
  </si>
  <si>
    <t>Bônus</t>
  </si>
  <si>
    <t>Sávio Santanta</t>
  </si>
  <si>
    <t>Vibe Meireles - Apto 2103</t>
  </si>
  <si>
    <t>TOTAL</t>
  </si>
  <si>
    <t>Outubro/26</t>
  </si>
  <si>
    <t>Mateus Jereissati</t>
  </si>
  <si>
    <t>Bella Aldeota - parcela 01</t>
  </si>
  <si>
    <t>Pago - Saldo Meta - BSWave e Mare - Maio26.pdf</t>
  </si>
  <si>
    <t>Novembro/26</t>
  </si>
  <si>
    <t>Bella Aldeota - parcela 02</t>
  </si>
  <si>
    <t>Para adicionar: insira uma linha ANTES do TOTAL. Categorias: Comissão | Tráfego Pago | Aporte | Outros</t>
  </si>
  <si>
    <t>Pago - Saldo Meta - MLar Cambeba e Lago - Maio26.pdf</t>
  </si>
  <si>
    <t>Bella Aldeota — Bônus</t>
  </si>
  <si>
    <t>Dezembro/26</t>
  </si>
  <si>
    <t>Pagamento Comissão Corretor Reno — Vibe 2103</t>
  </si>
  <si>
    <t>Pago - Comissão Reno - Vibe Meireles Ap2103.jpeg</t>
  </si>
  <si>
    <t>Lia de Sousa Alexandre e Jonathan Silva Santos</t>
  </si>
  <si>
    <t>Pagamento Angélica — Vibe Meireles 2103</t>
  </si>
  <si>
    <t>Angélica</t>
  </si>
  <si>
    <t>Pago - Comissao1 Angelica Mai26.pdf</t>
  </si>
  <si>
    <t>Gilson Ferreira de Andrade</t>
  </si>
  <si>
    <t>Dica: preencha as abas Entradas, Saidas e Custos Fixos. Este painel atualiza sozinho.</t>
  </si>
  <si>
    <t>POSICAO DE CAIXA PREVISTA</t>
  </si>
  <si>
    <t>50% Placas Porta RE9 — CEPlacas</t>
  </si>
  <si>
    <t>CE Placas</t>
  </si>
  <si>
    <t>A Receber (pendente)</t>
  </si>
  <si>
    <t>Pago - Placas RE9 pt1.pdf</t>
  </si>
  <si>
    <t>A Pagar (pendente)</t>
  </si>
  <si>
    <t>Saldo Previsto</t>
  </si>
  <si>
    <t>Pago - Saldo Meta - AtlanticoSeanoOrizon 2 - Maio26.jpeg</t>
  </si>
  <si>
    <t>José Jaime do Nascimento</t>
  </si>
  <si>
    <t>Bella Aldeota - Apto: 603 (Torre 1)</t>
  </si>
  <si>
    <t>Saldo Previsto = valores que ainda vao entrar menos valores que ainda precisa pagar.</t>
  </si>
  <si>
    <t>Pago - Saldo Meta - BellaAldeota e Bella Rio 2 - Maio26.jpeg</t>
  </si>
  <si>
    <t>Mara Tailane Moreira da Silva</t>
  </si>
  <si>
    <t>Enjoy - Apto 1201</t>
  </si>
  <si>
    <t>Curso para Corretores — CFCI</t>
  </si>
  <si>
    <t>TOTAIS</t>
  </si>
  <si>
    <t>CFCI</t>
  </si>
  <si>
    <t>Formação</t>
  </si>
  <si>
    <t>Pago - Curso para Corretores.pdf</t>
  </si>
  <si>
    <t>Saldo Meta — Jsmart e Diagonal</t>
  </si>
  <si>
    <t>Pago - Saldo Meta - Jsmart e Diagonal.pdf</t>
  </si>
  <si>
    <t>Pago - Saldo Meta — MLar Cambeba e Lago</t>
  </si>
  <si>
    <t>RESUMO: Valores pendentes de recebimento pela RE9</t>
  </si>
  <si>
    <t>RE9 — Total a Receber (pendente)</t>
  </si>
  <si>
    <t>Compra de 03 celulares</t>
  </si>
  <si>
    <t>Bruno</t>
  </si>
  <si>
    <t>RE9 — Total já Recebido</t>
  </si>
  <si>
    <t>Pago - Celulares</t>
  </si>
  <si>
    <t>RE9 — Total Geral</t>
  </si>
  <si>
    <t>Pago - Saldo Meta - Mlar Lago e Cambeba.pdf</t>
  </si>
  <si>
    <t>Saldo Google — Fortaleza</t>
  </si>
  <si>
    <t>Pago - Saldo Google — Fortaleza.jpeg</t>
  </si>
  <si>
    <t>Saldo Google — Imoveis Praia</t>
  </si>
  <si>
    <t>Pago - Saldo Google — Imoveis Praia.jpeg</t>
  </si>
  <si>
    <t>Placas do escritório</t>
  </si>
  <si>
    <t>Pago - Placas Escritório</t>
  </si>
  <si>
    <t>Saldo Google — Outros Estados</t>
  </si>
  <si>
    <t>Pago - Saldo Google — Outro Estados.jpeg</t>
  </si>
  <si>
    <t>Comissão Reno - Bella Aldeota (Mateus)</t>
  </si>
  <si>
    <t>Vendas</t>
  </si>
  <si>
    <t>Pago - Comissão Reno - Bella Aldeota</t>
  </si>
  <si>
    <t>Pago - Nota Fiscal - Saldo Meta — BSWave e Maré - 18052026.pdf</t>
  </si>
  <si>
    <t>Comissão Angelica - Bella Aldeota (Mateus)</t>
  </si>
  <si>
    <t>Pago - Nota Fiscal - Comissão Bella Aldeota - Mateus.pdf</t>
  </si>
  <si>
    <t>Bônus Reno - Bella Aldeota (Mateus)</t>
  </si>
  <si>
    <t>Pago - Bônus  Bella Aldeota -  Reno</t>
  </si>
  <si>
    <t>Saldo Meta - MLar Cambeba e Lago</t>
  </si>
  <si>
    <t>Pago - Nota Fiscal - Mlar Lago e Cambeba.pdf</t>
  </si>
  <si>
    <t>Saldo Meta - La Vie e Inc Parquelandia</t>
  </si>
  <si>
    <t>Pago - Saldo Meta - La Vie e Inc Parquelandia</t>
  </si>
  <si>
    <t>Comissão Angelica - Maré - Beatriz</t>
  </si>
  <si>
    <t>Pago - Nota Fiscal - Comissão Angélica.pdf</t>
  </si>
  <si>
    <t>Comissão Felipe- Maré - Beatriz</t>
  </si>
  <si>
    <t>Felipe</t>
  </si>
  <si>
    <t>Pago- Nota Fiscal - Comissão Felipe.pdf</t>
  </si>
  <si>
    <t>Comissão Pedro- Maré - Beatriz</t>
  </si>
  <si>
    <t>Pedro</t>
  </si>
  <si>
    <t>Nota Fiscal - Comissão Pedro.PDF</t>
  </si>
  <si>
    <t>Saldo Meta - Atlântico/Orizon/Seano</t>
  </si>
  <si>
    <t>Pago - Saldo Meta - Atlântico/Orizon/Seano - 27/05</t>
  </si>
  <si>
    <t>Saldo Meta - Mlar Cambeba / Lago</t>
  </si>
  <si>
    <t>Pago - Saldo Meta - Mlar lago/cambeba - 27/05</t>
  </si>
  <si>
    <t>Saldo Google - Re9 Imob Fortaleza</t>
  </si>
  <si>
    <t>Pago - Saldo Googld - Re9 Imob Fortaleza - 27/05</t>
  </si>
  <si>
    <t>Salário Angélica</t>
  </si>
  <si>
    <t>Funcionária</t>
  </si>
  <si>
    <t>Pago - Nota Fiscal - Salário - Angélica.pdf</t>
  </si>
  <si>
    <t>Pago - Saldo Meta - AtlanticoSeanoOrizon 3 - Maio26.jpeg</t>
  </si>
  <si>
    <t>Saldo Meta - BSWave e Maré</t>
  </si>
  <si>
    <t>Pago - Saldo Meta - BSWave e Mare - Maio26 2.jpeg</t>
  </si>
  <si>
    <t>Pago - Comissão Reno.jpeg</t>
  </si>
  <si>
    <t>Pago - Atlântico  Orizon  Seano  Inc Cambeba.pdf</t>
  </si>
  <si>
    <t>Pago - BS Wave  Maré.pdf</t>
  </si>
  <si>
    <t>Pago - MLar Cambeba  MLar Lago.pdf</t>
  </si>
  <si>
    <t>Saldo Google - RE9 Imob - Imóveis Praia</t>
  </si>
  <si>
    <t>Pgto Google - RE9Imob Imoveis Praia - Jun26.pdf</t>
  </si>
  <si>
    <t>Saldo Google - RE9 Imob - Internacional</t>
  </si>
  <si>
    <t>Pgto Google - RE9Imob Internacional - Jun26.pdf</t>
  </si>
  <si>
    <t>Saldo Meta - Atlântico / Orizon / Seano / IncCambeba</t>
  </si>
  <si>
    <t>Pgto Meta - Atlantico, Orizon, Seano, Inc Cambeba.pdf</t>
  </si>
  <si>
    <t>Saldo Meta - Bella Aldeota / Bella Rio / BS Rubi</t>
  </si>
  <si>
    <t>Pgto Meta - Bella Aldeota, Bella Rio, BS Rubi.pdf</t>
  </si>
  <si>
    <t>Saldo Meta - BSWave / Maré / BC Cumbuco / VistaCoqueiral</t>
  </si>
  <si>
    <t>Pgto Meta - BS Wave, Maré, BC Cumbuco, Vista Coqueiral.pdf</t>
  </si>
  <si>
    <t>Pgto Meta - MLar Cameba, MLar Lago.pdf</t>
  </si>
  <si>
    <t>Saldo Meta - La Vie / Inc Parquelandia</t>
  </si>
  <si>
    <t>Pgto Meta - La Vie, Inc Parquelandia.pdf</t>
  </si>
  <si>
    <t>Saldo Google - RE9 Imob - Fortaleza</t>
  </si>
  <si>
    <t>Pgto Google - RE9Imob Fortaleza - Jun26.pdf</t>
  </si>
  <si>
    <t>Comissão Contabilidade</t>
  </si>
  <si>
    <t>Souza</t>
  </si>
  <si>
    <t>Contabilidade</t>
  </si>
  <si>
    <t>Pago - Contabilidade.jpeg</t>
  </si>
  <si>
    <t>DRE — DEMONSTRATIVO DE RESULTADO — 2026</t>
  </si>
  <si>
    <t>Imposto Maio/26</t>
  </si>
  <si>
    <t>Receita Federal</t>
  </si>
  <si>
    <t>Financeiro</t>
  </si>
  <si>
    <t>Pago - Impostos.jpeg</t>
  </si>
  <si>
    <t>Calculado automaticamente. Aliquotas configuradas na aba Custos Fixos (celulas B22 e B23).</t>
  </si>
  <si>
    <t>LINHA</t>
  </si>
  <si>
    <t>Abr/26</t>
  </si>
  <si>
    <t xml:space="preserve">Funcionário </t>
  </si>
  <si>
    <t>Mai/26</t>
  </si>
  <si>
    <t>Jun/26</t>
  </si>
  <si>
    <t>Pago - Salário Angélica.jpeg</t>
  </si>
  <si>
    <t>Jul/26</t>
  </si>
  <si>
    <t>Ago/26</t>
  </si>
  <si>
    <t>Set/26</t>
  </si>
  <si>
    <t>Out/26</t>
  </si>
  <si>
    <t>Nov/26</t>
  </si>
  <si>
    <t>Dez/26</t>
  </si>
  <si>
    <t>TOTAL ANO</t>
  </si>
  <si>
    <t>(+) RECEITA BRUTA</t>
  </si>
  <si>
    <t>Pgto Google RE9 Imob - Fortaleza</t>
  </si>
  <si>
    <t xml:space="preserve">Google </t>
  </si>
  <si>
    <t>Pgto Google RE9 Imob - Imóveis Praia</t>
  </si>
  <si>
    <t>Pago - Google RE9 Imob - Imóveis Praia.jpeg</t>
  </si>
  <si>
    <t>Pgto Google RE9 Imob - Outros Estados</t>
  </si>
  <si>
    <t>Pago - Google RE9 Imob - Outros Estados.jpeg</t>
  </si>
  <si>
    <t>Pgto Google RE9 Imob - Internacional</t>
  </si>
  <si>
    <t>Pago - Google RE9 Imob - Internacional.jpeg</t>
  </si>
  <si>
    <t>Comissão Reno - MLar Kennedy (Lia e Jonathan)</t>
  </si>
  <si>
    <t>Pago - Comissao Reno MLar Kennedy Lia e Jonathan.jpeg</t>
  </si>
  <si>
    <t>Saldo Meta - Atlântico  Orizon  Seano  Inc Cambeba</t>
  </si>
  <si>
    <t xml:space="preserve">     Comissoes</t>
  </si>
  <si>
    <t>Pago -Saldo Meta - Atlântico  Orizon  Seano  Inc Cambeba.jpeg</t>
  </si>
  <si>
    <t>Comissão Angélica</t>
  </si>
  <si>
    <t>Comissão Angélica.jpeg</t>
  </si>
  <si>
    <t>CONTAS A PAGAR — COMPROMISSOS E VENCIMENTOS FUTUROS</t>
  </si>
  <si>
    <t>Quando pagar, mude para Pago e registre tambem na aba Saidas.</t>
  </si>
  <si>
    <t>Fornecedor / Para quem</t>
  </si>
  <si>
    <t>Comissão Felipe</t>
  </si>
  <si>
    <t>Vencimento</t>
  </si>
  <si>
    <t>Comissão Felipe.jpeg</t>
  </si>
  <si>
    <t>Situacao</t>
  </si>
  <si>
    <t>Data Pgto</t>
  </si>
  <si>
    <t>TOTAL PENDENTE</t>
  </si>
  <si>
    <t>Saldo Meta - Bella Aldeota Bella Rio  BS Rubi</t>
  </si>
  <si>
    <t>Pago - Saldo Meta - Bella Aldeota Bella Rio  BS Rubi.jpeg</t>
  </si>
  <si>
    <t>Repasse — Vista di Mari 1303</t>
  </si>
  <si>
    <t>Saldo Meta - BSWave  Maré  BC Cumbuco  Vista Coqueiral</t>
  </si>
  <si>
    <t>Saldo Meta - BSWave  Maré  BC Cumbuco  Vista Coqueiral.jpeg</t>
  </si>
  <si>
    <t>PAGO</t>
  </si>
  <si>
    <t>Saldo Meta - MLar Cambeba  MLar Lago</t>
  </si>
  <si>
    <t>Repasse — Vista di Mari 1213</t>
  </si>
  <si>
    <t>Saldo Meta - MLar Cambeba  MLar Lago.jpeg</t>
  </si>
  <si>
    <t xml:space="preserve">     Reembolso Trafego Pago</t>
  </si>
  <si>
    <t>Repasse — MLar Kennedy 1106</t>
  </si>
  <si>
    <t>Saldo Meta - La Vie  Inc Parquelândia</t>
  </si>
  <si>
    <t>Saldo Meta - La Vie  Inc Parquelândia.jpeg</t>
  </si>
  <si>
    <t>Repasse — Bônus</t>
  </si>
  <si>
    <t>PENDENTE</t>
  </si>
  <si>
    <t>Comissão Pedro</t>
  </si>
  <si>
    <t>Repasse — MLar Cambeba 1104</t>
  </si>
  <si>
    <t>Comissão Pedro.jpeg</t>
  </si>
  <si>
    <t>Repasse — MLar Cambeba 905</t>
  </si>
  <si>
    <t>Repasse — MLar Cambeba 705</t>
  </si>
  <si>
    <t>Pgto Saldo Google - RE9 Imob - Interior</t>
  </si>
  <si>
    <t>Conferir: data de pgto é futura (01/08) — checar se já saiu ou é erro de digitação</t>
  </si>
  <si>
    <t>Pgto Saldo Google - RE9 Imob - Interior.jpeg</t>
  </si>
  <si>
    <t>Repasse — MLar Jacarey 808</t>
  </si>
  <si>
    <t>Repasse — Bella Aldeota 601</t>
  </si>
  <si>
    <t>Saldo Google - RE9 Imob - Interior</t>
  </si>
  <si>
    <t>Saldo Google - RE9 Imob - Interior.jpeg</t>
  </si>
  <si>
    <t>Repasse — Bella Aldeota 1306</t>
  </si>
  <si>
    <t>Saldo Google - RE9 Imob - Fortaleza.jpeg</t>
  </si>
  <si>
    <t>Repasse — Bella Aldeota 1307</t>
  </si>
  <si>
    <t>Pago - Comissão Angélica.jpeg</t>
  </si>
  <si>
    <t xml:space="preserve">     Outros</t>
  </si>
  <si>
    <t>Repasse — Maré/Marquise (Beatriz)</t>
  </si>
  <si>
    <t>Creci Assis</t>
  </si>
  <si>
    <t>Assis</t>
  </si>
  <si>
    <t>Pago - Creci Assis.jpeg</t>
  </si>
  <si>
    <t>Repasse — Vibe Meireles 2103</t>
  </si>
  <si>
    <t>Comissão Reno</t>
  </si>
  <si>
    <t>Pago - Comissão Reno - 29062026.jpeg</t>
  </si>
  <si>
    <t>Repasse — Bella Aldeota (Mateus)</t>
  </si>
  <si>
    <t>Parcela 1/2</t>
  </si>
  <si>
    <t>Saldo Meta - Atlântico, Seano, Orizon e Inc Cambeba</t>
  </si>
  <si>
    <t>Pago - Saldo Meta - Atlântico, Seano, Orizon e Inc Cambeba.jpeg</t>
  </si>
  <si>
    <t>Parcela 2/2</t>
  </si>
  <si>
    <t>Saldo Google - Re9 Imob - Outros Estados</t>
  </si>
  <si>
    <t>Repasse — Bella Aldeota Bônus (Mateus)</t>
  </si>
  <si>
    <t>Saldo Google - RE9 Imob - Outros Estados.jpeg</t>
  </si>
  <si>
    <t>(-) DEDUCOES / IMPOSTOS  (% da receita)</t>
  </si>
  <si>
    <t>Repasse — MLar Kennedy</t>
  </si>
  <si>
    <t>Saldo Google - Re9 Imob - Interior</t>
  </si>
  <si>
    <t>Saldo Google - RE9 Imob - Interior (1).jpeg</t>
  </si>
  <si>
    <t>Repasse — Maré/Marquise (Gilson)</t>
  </si>
  <si>
    <t>Saldo Google - Re9 Imob - Imoveis Praia</t>
  </si>
  <si>
    <t>Saldo Google - RE9 Imob - Imóveis Praia.jpeg</t>
  </si>
  <si>
    <t>Repasse — Bella Aldeota 603 (José Jaime)</t>
  </si>
  <si>
    <t>(=) RECEITA LIQUIDA</t>
  </si>
  <si>
    <t>Saldo Google - RE9 Imob - Fortaleza (1).jpeg</t>
  </si>
  <si>
    <t>Repasse — Enjoy 1201 (Mara Tailane)</t>
  </si>
  <si>
    <t>(-) DESPESAS VARIAVEIS</t>
  </si>
  <si>
    <t>Saldo Google - Re9 Imob - Internacional</t>
  </si>
  <si>
    <t>Saldo Google - RE9 Imob - Internacional.jpeg</t>
  </si>
  <si>
    <t xml:space="preserve">Bônus Reno </t>
  </si>
  <si>
    <t>Pago - Bônus Reno.jpeg</t>
  </si>
  <si>
    <t>Para adicionar: preencha nas linhas acima do TOTAL. Situacao: Pendente | Pago | Atrasado</t>
  </si>
  <si>
    <t>Captação Assis</t>
  </si>
  <si>
    <t>Captação</t>
  </si>
  <si>
    <t>Pago - Captação Assis.jpeg</t>
  </si>
  <si>
    <t>Pago - Comissão Angélica - 01072026.jpeg</t>
  </si>
  <si>
    <t xml:space="preserve">     Marketing / Trafego</t>
  </si>
  <si>
    <t>Pago - Comissão Reno - 01072026.jpeg</t>
  </si>
  <si>
    <t>Pagamento dos Chips</t>
  </si>
  <si>
    <t>Pago - Chips.jpeg</t>
  </si>
  <si>
    <t>Imposto Junho/26</t>
  </si>
  <si>
    <t>Pago - Impostos Junho.pdf</t>
  </si>
  <si>
    <t>Saldo Google - RE9 Imob - Fortaleza - 1000.jpeg</t>
  </si>
  <si>
    <t>Saldo Google - RE9 Imob - Imóveis Praia - 500.jpeg</t>
  </si>
  <si>
    <t xml:space="preserve">     Alimentacao / Refeicoes</t>
  </si>
  <si>
    <t>Saldo Google - RE9 Imob - Internacional - 400.jpeg</t>
  </si>
  <si>
    <t>Saldo Google - RE9 Imob - Outros Estados</t>
  </si>
  <si>
    <t>Saldo Google - RE9 Imob - Outros Estados - 400.jpeg</t>
  </si>
  <si>
    <t>Adiantamento Quinzenal</t>
  </si>
  <si>
    <t>Pago - Adiantamento Quinzenal.jpeg</t>
  </si>
  <si>
    <t>CONTAS A RECEBER — PARCELAS E VALORES PENDENTES</t>
  </si>
  <si>
    <t>Pago - Comissão Reno 15k.jpeg</t>
  </si>
  <si>
    <t>Quando receber: mude para Recebido e registre tambem na aba Entradas.</t>
  </si>
  <si>
    <t>Valor Total (R$)</t>
  </si>
  <si>
    <t xml:space="preserve">     Transporte / Combustivel</t>
  </si>
  <si>
    <t>Comissão Soraya — Vista di Mari 1303</t>
  </si>
  <si>
    <t>Pago - Comissão Reno 12k.jpegg</t>
  </si>
  <si>
    <t>Recebido</t>
  </si>
  <si>
    <t>Corretor: Soraya</t>
  </si>
  <si>
    <t>Comissão Soraya — Vista di Mari 1213</t>
  </si>
  <si>
    <t>Pago - Comissão Angélica 1.jpeg</t>
  </si>
  <si>
    <t>Comissão André — MLar Kennedy Bônus R$5.000</t>
  </si>
  <si>
    <t>Pendente</t>
  </si>
  <si>
    <t>Corretor: André</t>
  </si>
  <si>
    <t>Serviço Financeiro</t>
  </si>
  <si>
    <t>Nummis</t>
  </si>
  <si>
    <t>Pago - Pagamento para Nummis.jpeg</t>
  </si>
  <si>
    <t>Comissão André — MLar Kennedy 1106</t>
  </si>
  <si>
    <t>Comissão André — Bônus</t>
  </si>
  <si>
    <t>Pago - Comissão Reno 4k.jpeg</t>
  </si>
  <si>
    <t>Comissão André — MLar Cambeba 1104</t>
  </si>
  <si>
    <t>Pago - Comissão Angélica 2.jpeg</t>
  </si>
  <si>
    <t>Comissão André — MLar Cambeba 905</t>
  </si>
  <si>
    <t>Comissão Lucas — MLar Cambeba 705</t>
  </si>
  <si>
    <t>Contador</t>
  </si>
  <si>
    <t>Pago - Comissão Contabilidade.jpeg</t>
  </si>
  <si>
    <t>Corretor: Lucas. Conferir: data de receb. é futura (01/08) — checar se já entrou ou é erro de digitação</t>
  </si>
  <si>
    <t xml:space="preserve">     Ferramentas / Software</t>
  </si>
  <si>
    <t>Comissão Reno — MLar Jacarey 808</t>
  </si>
  <si>
    <t>Saldo Meta - Bella Aldeota, Bella Rio, Oasy e Myrage</t>
  </si>
  <si>
    <t>Pago - Saldo Meta - Bella Aldeota, Bella Rio, Oasy e Myrage.jpeg</t>
  </si>
  <si>
    <t>Comissão Reno — Bella Aldeota 601</t>
  </si>
  <si>
    <t>Saldo Meta - Mlar Cambeba, Lago e Inc</t>
  </si>
  <si>
    <t>Pago - Saldo Meta - Mlar Cambeba, Lago e Inc.jpeg</t>
  </si>
  <si>
    <t>Comissão Reno — Bella Aldeota 1306</t>
  </si>
  <si>
    <t>Comissão Reno — Maré/Marquise</t>
  </si>
  <si>
    <t>Pago - Saldo Google - Re9 Imob Fortaleza.jpeg</t>
  </si>
  <si>
    <t>Comissão Reno — Vibe Meireles 2103</t>
  </si>
  <si>
    <t>Saldo Google - Re9 Imob Interior</t>
  </si>
  <si>
    <t>Pago - Saldo Google - Re9 Imob Interior.jpeg</t>
  </si>
  <si>
    <t>Comissão Reno — Bella Aldeota (Mateus)</t>
  </si>
  <si>
    <t>Saldo Google - Re9 Imob Outros Estados</t>
  </si>
  <si>
    <t xml:space="preserve">     Outras Despesas</t>
  </si>
  <si>
    <t>Comissão Reno — Bella Aldeota Bônus (Mateus)</t>
  </si>
  <si>
    <t>Pago - Saldo Google - Re9 Imob Outros Estados.jpeg</t>
  </si>
  <si>
    <t>Comissão Reno — MLar Kennedy</t>
  </si>
  <si>
    <t>Pagamento OLX</t>
  </si>
  <si>
    <t>Pago - OLX.jpeg</t>
  </si>
  <si>
    <t>Comissão Reno — Bella Aldeota 603</t>
  </si>
  <si>
    <t>Saldo Google 500 - RE9 Imob - Outros Estados</t>
  </si>
  <si>
    <t>Pago - Saldo Google 500 - RE9 Imob - Outros Estados.jpeg</t>
  </si>
  <si>
    <t>Comissão Reno — Enjoy 1201</t>
  </si>
  <si>
    <t>Saldo Meta 2000 - Bella Aldeota, Rio, Oasy e Myrage</t>
  </si>
  <si>
    <t>Pago - Saldo Meta 2000 - Bella Aldeota, Rio, Oasy e Myrage.jpeg</t>
  </si>
  <si>
    <t>Saldo Meta 1000 - MLar Cambeba, Lago e Inc Cambeba</t>
  </si>
  <si>
    <t>Pago - Saldo Meta 1000 - MLar Cambeba, Lago e Inc Cambeba.jpeg</t>
  </si>
  <si>
    <t>(-) CUSTOS FIXOS MENSAIS</t>
  </si>
  <si>
    <t>Situacao: Pendente | Recebido | Atrasado. Total mostra apenas valores pendentes.</t>
  </si>
  <si>
    <t>Saldo Meta 2000 - Maré, BS Wave e Vista Coqueiral</t>
  </si>
  <si>
    <t>Pago - Saldo Meta 2000 - Maré, BS Wave e Vista Coqueiral.jpeg</t>
  </si>
  <si>
    <t>Saldo Meta 1000 - La Vie e Inc Parquelândia</t>
  </si>
  <si>
    <t>Pago - Saldo Meta 1000 - La Vie e Inc Parquelândia.jpeg</t>
  </si>
  <si>
    <t>(=) LUCRO OPERACIONAL  EBITDA</t>
  </si>
  <si>
    <t>Saldo Google 2000 - RE9 Imob - Fortaleza</t>
  </si>
  <si>
    <t>Pago - Saldo Google 2000 - RE9 Imob - Fortaleza.jpegg</t>
  </si>
  <si>
    <t>(-) Provisao IR / CSLL  (% sobre EBITDA)</t>
  </si>
  <si>
    <t>Saldo Google 1000 - RE9 Imob - Imóveis Praia</t>
  </si>
  <si>
    <t>Pago - Saldo Google 1000 - RE9 Imob - Imóveis Praia.jpeg</t>
  </si>
  <si>
    <t>(=) LUCRO LIQUIDO</t>
  </si>
  <si>
    <t>Categorias: Marketing | Comissão | Equipamento | Formação | Outros. Use sempre a mesma grafia.</t>
  </si>
  <si>
    <t xml:space="preserve">    Margem Liquida (%)</t>
  </si>
  <si>
    <t>CUSTOS FIXOS MENSAIS — CONFIGURACOES</t>
  </si>
  <si>
    <t>Despesas que se repetem todo mes. Atualize os valores quando os contratos mudarem.</t>
  </si>
  <si>
    <t>Valor Mensal (R$)</t>
  </si>
  <si>
    <t>Valor Anual (R$)</t>
  </si>
  <si>
    <t>Vencimento (dia)</t>
  </si>
  <si>
    <t>VPS Hostinger</t>
  </si>
  <si>
    <t>Infraestrutura Web</t>
  </si>
  <si>
    <t>Mensalidade servidor</t>
  </si>
  <si>
    <t>Pagamento Mensal Angélica</t>
  </si>
  <si>
    <t>Pessoal</t>
  </si>
  <si>
    <t>Funcionária administrativa</t>
  </si>
  <si>
    <t>Mensalidade Zaia</t>
  </si>
  <si>
    <t>Software</t>
  </si>
  <si>
    <t>Plataforma Zaia</t>
  </si>
  <si>
    <t>TOTAL CUSTOS FIXOS / MES</t>
  </si>
  <si>
    <t>CONFIGURACOES DE IMPOSTO  (usadas no DRE automaticamente)</t>
  </si>
  <si>
    <t>Aliquota ISS / Simples (% da receita bruta)</t>
  </si>
  <si>
    <t>Altere se sua aliquota mudar — consulte o contador</t>
  </si>
  <si>
    <t>Provisao IR / CSLL (% sobre lucro operacional)</t>
  </si>
  <si>
    <t>Estimativa — consulte sempre seu contador</t>
  </si>
  <si>
    <t>CONTROLE DE IMPOSTOS — SIMPLES NACIONAL (DAS)</t>
  </si>
  <si>
    <t>Alíquota Simples Nacional: 3,53%  |  Vencimento: todo dia 20 do mês seguinte ao recebimento</t>
  </si>
  <si>
    <t>ALÍQUOTA SIMPLES NACIONAL (editável)</t>
  </si>
  <si>
    <t>Altere o valor em B4 se sua alíquota mudar. Todos os cálculos atualizam automaticamente.</t>
  </si>
  <si>
    <t>DAS MENSAL — QUANTO PAGAR TODO DIA 20</t>
  </si>
  <si>
    <t>Mês de Recebimento</t>
  </si>
  <si>
    <t>Valor Bruto Recebido</t>
  </si>
  <si>
    <t>Alíquota Simples</t>
  </si>
  <si>
    <t>DAS a Pagar</t>
  </si>
  <si>
    <t>Vencimento (dia 20)</t>
  </si>
  <si>
    <t>Situação</t>
  </si>
  <si>
    <t>Janeiro/26</t>
  </si>
  <si>
    <t>20/02/2026</t>
  </si>
  <si>
    <t>Pago</t>
  </si>
  <si>
    <t>Março/26</t>
  </si>
  <si>
    <t>20/04/2026</t>
  </si>
  <si>
    <t>20/05/2026</t>
  </si>
  <si>
    <t>Maio/26 (estimado)</t>
  </si>
  <si>
    <t>← preencha com o valor bruto recebido no mês</t>
  </si>
  <si>
    <t>=</t>
  </si>
  <si>
    <t>20/06/2026</t>
  </si>
  <si>
    <t>Junho/26 (estimado)</t>
  </si>
  <si>
    <t>20/07/2026</t>
  </si>
  <si>
    <t>IMPOSTO POR COMISSÃO RECEBIDA — QUANTO CADA VENDA GERA DE DAS</t>
  </si>
  <si>
    <t>Cliente / Empreendimento</t>
  </si>
  <si>
    <t>Valor Bruto (comissão)</t>
  </si>
  <si>
    <t>Retido (10,49%)</t>
  </si>
  <si>
    <t>Líquido Recebido</t>
  </si>
  <si>
    <t>Simples (3,53%)</t>
  </si>
  <si>
    <t>Diferença</t>
  </si>
  <si>
    <t>Status</t>
  </si>
  <si>
    <t>Vista di Mari 1303 — Nonato</t>
  </si>
  <si>
    <t>Vista di Mari 1213 — Clemilton</t>
  </si>
  <si>
    <t>MLar Kennedy Bônus — Lucirene</t>
  </si>
  <si>
    <t>MLar Kennedy 1106 — Lucirene</t>
  </si>
  <si>
    <t>MLar Cambeba 1104 — Luana</t>
  </si>
  <si>
    <t>MLar Cambeba 905 — Vinicius</t>
  </si>
  <si>
    <t>MLar Cambeba 705 — Juliana Pontes</t>
  </si>
  <si>
    <t>GUIA DE USO — COMO USAR ESTA PLANILHA</t>
  </si>
  <si>
    <t>Rotina: recebeu → Entradas  |  gastou → Saidas  |  parcela futura → Contas a Receber</t>
  </si>
  <si>
    <t>MLar Jacarey 808 — Rafael H.</t>
  </si>
  <si>
    <t>Dashboard</t>
  </si>
  <si>
    <t>Bella Aldeota 601 — Rafael D.</t>
  </si>
  <si>
    <t>Visao geral automatica. Nao edite — calculado pelas outras abas.</t>
  </si>
  <si>
    <t>DRE</t>
  </si>
  <si>
    <t>Resultado mensal: receita menos despesas menos custos fixos igual lucro. Atualiza sozinho.</t>
  </si>
  <si>
    <t>Bella Aldeota 1306 — Marcio A.</t>
  </si>
  <si>
    <t>Entradas</t>
  </si>
  <si>
    <t>Registre TODA receita: comissoes, reembolsos, outras. Preencha sempre a Categoria.</t>
  </si>
  <si>
    <t>Saidas</t>
  </si>
  <si>
    <t>Registre TODA despesa variavel. Marque Pago? como Sim quando confirmado.</t>
  </si>
  <si>
    <t>Custos Fixos</t>
  </si>
  <si>
    <t>Liste despesas mensais recorrentes. Atualize quando contratos mudarem.</t>
  </si>
  <si>
    <t>Maré Marquise — Beatriz Dias</t>
  </si>
  <si>
    <t>Contas a Receber</t>
  </si>
  <si>
    <t>Parcelas futuras. Quando receber, mude para Recebido e registre em Entradas.</t>
  </si>
  <si>
    <t>Vibe Meireles — Sávio S.</t>
  </si>
  <si>
    <t>Impostos</t>
  </si>
  <si>
    <t>Configure aliquota em Custos Fixos (B22 e B23). Consulte seu contador.</t>
  </si>
  <si>
    <t>Celulas amarelas</t>
  </si>
  <si>
    <t>Celulas amarelas = voce preenche. Celulas brancas com formulas = nao edite.</t>
  </si>
  <si>
    <t>Categorias</t>
  </si>
  <si>
    <t>Bella Aldeota — Mateus Jereissati</t>
  </si>
  <si>
    <t>Use sempre a mesma grafia. Ex: Marketing (nao Mkt, nao marketing).</t>
  </si>
  <si>
    <t>⚠  ATENÇÃO: A coluna Diferença mostra o quanto a construtora reteve a MAIS que o seu Simples. Valores positivos indicam possível crédito tributário — consulte seu contador urgente!</t>
  </si>
  <si>
    <t>O Simples Nacional (DAS) vence todo dia 20 do mês seguinte. Ex: comissão recebida em maio → DAS pago até 20/junho.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</si>
</sst>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&quot;R$ &quot;#,##0.00"/>
    <numFmt numFmtId="166" formatCode="0.0%"/>
    <numFmt numFmtId="167" formatCode="&quot;R$ &quot;#,##0.00;[RED]&quot;-R$ &quot;#,##0.00;r&quot;$ -&quot;"/>
    <numFmt numFmtId="168" formatCode="d/m"/>
    <numFmt numFmtId="169" formatCode="[$R$ -416]#,##0.00"/>
  </numFmts>
  <fonts count="62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3.0"/>
      <color rgb="FFFFFFFF"/>
      <name val="Arial"/>
    </font>
    <font>
      <i/>
      <sz val="9.0"/>
      <color rgb="FF1A6B3C"/>
      <name val="Arial"/>
    </font>
    <font>
      <b/>
      <sz val="10.0"/>
      <color rgb="FFFFFFFF"/>
      <name val="Arial"/>
    </font>
    <font>
      <i/>
      <sz val="9.0"/>
      <color rgb="FFC0392B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0.0"/>
      <color rgb="FF1A6B3C"/>
      <name val="Arial"/>
    </font>
    <font>
      <b/>
      <sz val="9.0"/>
      <color rgb="FF1A6B3C"/>
      <name val="Arial"/>
    </font>
    <font>
      <b/>
      <sz val="9.0"/>
      <color rgb="FFC0392B"/>
      <name val="Arial"/>
    </font>
    <font>
      <b/>
      <sz val="9.0"/>
      <color rgb="FFE67E22"/>
      <name val="Arial"/>
    </font>
    <font>
      <i/>
      <sz val="9.0"/>
      <color rgb="FF6C3483"/>
      <name val="Arial"/>
    </font>
    <font>
      <b/>
      <sz val="9.0"/>
      <color rgb="FF1565C0"/>
      <name val="Arial"/>
    </font>
    <font>
      <b/>
      <sz val="10.0"/>
      <color rgb="FFC0392B"/>
      <name val="Arial"/>
    </font>
    <font>
      <b/>
      <sz val="9.0"/>
      <color rgb="FFFFFFFF"/>
      <name val="Arial"/>
    </font>
    <font>
      <b/>
      <sz val="14.0"/>
      <color rgb="FF1A6B3C"/>
      <name val="Arial"/>
    </font>
    <font>
      <u/>
      <sz val="11.0"/>
      <color theme="1"/>
      <name val="Arial"/>
    </font>
    <font>
      <b/>
      <sz val="14.0"/>
      <color rgb="FFC0392B"/>
      <name val="Arial"/>
    </font>
    <font>
      <b/>
      <sz val="14.0"/>
      <color rgb="FFE67E22"/>
      <name val="Arial"/>
    </font>
    <font>
      <sz val="9.0"/>
      <color rgb="FF000000"/>
      <name val="Arial"/>
    </font>
    <font>
      <b/>
      <sz val="14.0"/>
      <color rgb="FF1565C0"/>
      <name val="Arial"/>
    </font>
    <font>
      <b/>
      <sz val="10.0"/>
      <color rgb="FFE67E22"/>
      <name val="Arial"/>
    </font>
    <font>
      <b/>
      <sz val="10.0"/>
      <color rgb="FF000000"/>
      <name val="Arial"/>
    </font>
    <font>
      <b/>
      <sz val="11.0"/>
      <color rgb="FFC0392B"/>
      <name val="Arial"/>
    </font>
    <font>
      <sz val="10.0"/>
      <color rgb="FF1A6B3C"/>
      <name val="Arial"/>
    </font>
    <font>
      <sz val="10.0"/>
      <color rgb="FFC0392B"/>
      <name val="Arial"/>
    </font>
    <font>
      <sz val="10.0"/>
      <color rgb="FFE67E22"/>
      <name val="Arial"/>
    </font>
    <font>
      <sz val="11.0"/>
      <color theme="1"/>
      <name val="Arial"/>
    </font>
    <font>
      <b/>
      <sz val="11.0"/>
      <color rgb="FFFFFFFF"/>
      <name val="Arial"/>
    </font>
    <font>
      <i/>
      <sz val="9.0"/>
      <color rgb="FF555555"/>
      <name val="Arial"/>
    </font>
    <font>
      <b/>
      <sz val="10.0"/>
      <color rgb="FF6C3483"/>
      <name val="Arial"/>
    </font>
    <font>
      <b/>
      <sz val="9.0"/>
      <color rgb="FF6C3483"/>
      <name val="Arial"/>
    </font>
    <font>
      <b/>
      <sz val="14.0"/>
      <color rgb="FF6C3483"/>
      <name val="Arial"/>
    </font>
    <font>
      <i/>
      <sz val="8.0"/>
      <color rgb="FFE67E22"/>
      <name val="Arial"/>
    </font>
    <font>
      <i/>
      <sz val="8.0"/>
      <color rgb="FFC0392B"/>
      <name val="Arial"/>
    </font>
    <font>
      <u/>
      <sz val="11.0"/>
      <color rgb="FF1F1F1F"/>
      <name val="Arial"/>
    </font>
    <font>
      <b/>
      <sz val="11.0"/>
      <color rgb="FF6C3483"/>
      <name val="Arial"/>
    </font>
    <font>
      <u/>
      <sz val="10.0"/>
      <color rgb="FF000000"/>
      <name val="Arial"/>
    </font>
    <font>
      <u/>
      <sz val="10.0"/>
      <color rgb="FF1F1F1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1F1F1F"/>
      <name val="Arial"/>
    </font>
    <font>
      <u/>
      <sz val="10.0"/>
      <color rgb="FF000000"/>
      <name val="Arial"/>
    </font>
    <font>
      <u/>
      <sz val="10.0"/>
      <color rgb="FF1F1F1F"/>
      <name val="Arial"/>
    </font>
    <font>
      <u/>
      <sz val="10.0"/>
      <color rgb="FF1F1F1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i/>
      <sz val="9.0"/>
      <color rgb="FF1565C0"/>
      <name val="Arial"/>
    </font>
    <font>
      <b/>
      <sz val="10.0"/>
      <color rgb="FFB8860B"/>
      <name val="Arial"/>
    </font>
    <font>
      <u/>
      <sz val="10.0"/>
      <color theme="1"/>
      <name val="Arial"/>
    </font>
    <font>
      <b/>
      <sz val="10.0"/>
      <color rgb="FF1565C0"/>
      <name val="Arial"/>
    </font>
    <font>
      <u/>
      <sz val="11.0"/>
      <color theme="1"/>
      <name val="Calibri"/>
    </font>
    <font>
      <b/>
      <sz val="12.0"/>
      <color rgb="FFFFFFFF"/>
      <name val="Arial"/>
    </font>
    <font>
      <i/>
      <sz val="9.0"/>
      <color rgb="FFE67E22"/>
      <name val="Arial"/>
    </font>
    <font>
      <b/>
      <sz val="14.0"/>
      <color rgb="FFFFFFFF"/>
      <name val="Arial"/>
    </font>
    <font>
      <sz val="10.0"/>
      <color rgb="FF6C3483"/>
      <name val="Arial"/>
    </font>
    <font>
      <i/>
      <sz val="9.0"/>
      <color rgb="FF888888"/>
      <name val="Arial"/>
    </font>
    <font>
      <sz val="9.0"/>
      <color rgb="FF1A6B3C"/>
      <name val="Arial"/>
    </font>
    <font>
      <sz val="9.0"/>
      <color rgb="FFC0392B"/>
      <name val="Arial"/>
    </font>
    <font>
      <b/>
      <sz val="9.0"/>
      <color rgb="FFB8860B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A6B3C"/>
        <bgColor rgb="FF1A6B3C"/>
      </patternFill>
    </fill>
    <fill>
      <patternFill patternType="solid">
        <fgColor rgb="FFC0392B"/>
        <bgColor rgb="FFC0392B"/>
      </patternFill>
    </fill>
    <fill>
      <patternFill patternType="solid">
        <fgColor rgb="FFEBF7F1"/>
        <bgColor rgb="FFEBF7F1"/>
      </patternFill>
    </fill>
    <fill>
      <patternFill patternType="solid">
        <fgColor rgb="FFFDE8E8"/>
        <bgColor rgb="FFFDE8E8"/>
      </patternFill>
    </fill>
    <fill>
      <patternFill patternType="solid">
        <fgColor rgb="FF6C3483"/>
        <bgColor rgb="FF6C3483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D6F0E0"/>
        <bgColor rgb="FFD6F0E0"/>
      </patternFill>
    </fill>
    <fill>
      <patternFill patternType="solid">
        <fgColor rgb="FFFDEBD0"/>
        <bgColor rgb="FFFDEBD0"/>
      </patternFill>
    </fill>
    <fill>
      <patternFill patternType="solid">
        <fgColor rgb="FFEBD5F5"/>
        <bgColor rgb="FFEBD5F5"/>
      </patternFill>
    </fill>
    <fill>
      <patternFill patternType="solid">
        <fgColor rgb="FFE8F4FD"/>
        <bgColor rgb="FFE8F4FD"/>
      </patternFill>
    </fill>
    <fill>
      <patternFill patternType="solid">
        <fgColor rgb="FFE67E22"/>
        <bgColor rgb="FFE67E22"/>
      </patternFill>
    </fill>
    <fill>
      <patternFill patternType="solid">
        <fgColor rgb="FFBF9000"/>
        <bgColor rgb="FFBF9000"/>
      </patternFill>
    </fill>
    <fill>
      <patternFill patternType="solid">
        <fgColor rgb="FF9B59B6"/>
        <bgColor rgb="FF9B59B6"/>
      </patternFill>
    </fill>
    <fill>
      <patternFill patternType="solid">
        <fgColor rgb="FF1565C0"/>
        <bgColor rgb="FF1565C0"/>
      </patternFill>
    </fill>
    <fill>
      <patternFill patternType="solid">
        <fgColor rgb="FFFFFF00"/>
        <bgColor rgb="FFFFFF00"/>
      </patternFill>
    </fill>
    <fill>
      <patternFill patternType="solid">
        <fgColor rgb="FFFFFACC"/>
        <bgColor rgb="FFFFFACC"/>
      </patternFill>
    </fill>
    <fill>
      <patternFill patternType="solid">
        <fgColor rgb="FFFADDDD"/>
        <bgColor rgb="FFFADDDD"/>
      </patternFill>
    </fill>
    <fill>
      <patternFill patternType="solid">
        <fgColor rgb="FF2E8B57"/>
        <bgColor rgb="FF2E8B57"/>
      </patternFill>
    </fill>
  </fills>
  <borders count="46">
    <border/>
    <border>
      <left/>
      <top/>
      <bottom/>
    </border>
    <border>
      <top/>
      <bottom/>
    </border>
    <border>
      <right/>
      <top/>
      <bottom/>
    </border>
    <border>
      <left style="thin">
        <color rgb="FF1A6B3C"/>
      </left>
      <right style="thin">
        <color rgb="FF1A6B3C"/>
      </right>
      <top style="thin">
        <color rgb="FF1A6B3C"/>
      </top>
      <bottom/>
    </border>
    <border>
      <left style="thin">
        <color rgb="FFC0392B"/>
      </left>
      <right style="thin">
        <color rgb="FFC0392B"/>
      </right>
      <top style="thin">
        <color rgb="FFC0392B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6C3483"/>
      </left>
      <right style="thin">
        <color rgb="FF6C3483"/>
      </right>
      <top style="thin">
        <color rgb="FF6C3483"/>
      </top>
      <bottom/>
    </border>
    <border>
      <left style="thin">
        <color rgb="FFE67E22"/>
      </left>
      <right style="thin">
        <color rgb="FFE67E22"/>
      </right>
      <top style="thin">
        <color rgb="FFE67E22"/>
      </top>
      <bottom/>
    </border>
    <border>
      <left style="thin">
        <color rgb="FF1A6B3C"/>
      </left>
      <right style="thin">
        <color rgb="FF1A6B3C"/>
      </right>
      <top style="thin">
        <color rgb="FF1A6B3C"/>
      </top>
      <bottom style="thin">
        <color rgb="FF1A6B3C"/>
      </bottom>
    </border>
    <border>
      <left style="thin">
        <color rgb="FF6C3483"/>
      </left>
      <right style="thin">
        <color rgb="FF6C3483"/>
      </right>
      <top/>
      <bottom style="thin">
        <color rgb="FF6C3483"/>
      </bottom>
    </border>
    <border>
      <left style="thin">
        <color rgb="FF9B59B6"/>
      </left>
      <right style="thin">
        <color rgb="FF9B59B6"/>
      </right>
      <top/>
      <bottom style="thin">
        <color rgb="FF9B59B6"/>
      </bottom>
    </border>
    <border>
      <left style="thin">
        <color rgb="FFE67E22"/>
      </left>
      <right style="thin">
        <color rgb="FFE67E22"/>
      </right>
      <top/>
      <bottom style="thin">
        <color rgb="FFE67E22"/>
      </bottom>
    </border>
    <border>
      <left style="thin">
        <color rgb="FFC0392B"/>
      </left>
      <right style="thin">
        <color rgb="FFC0392B"/>
      </right>
      <top/>
      <bottom style="thin">
        <color rgb="FFC0392B"/>
      </bottom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/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/>
      <top style="thin">
        <color rgb="FF666666"/>
      </top>
      <bottom style="thin">
        <color rgb="FF666666"/>
      </bottom>
    </border>
    <border>
      <left/>
      <right style="thin">
        <color rgb="FF666666"/>
      </right>
      <top style="thin">
        <color rgb="FF666666"/>
      </top>
      <bottom/>
    </border>
    <border>
      <left style="thin">
        <color rgb="FF666666"/>
      </left>
      <right/>
      <top style="thin">
        <color rgb="FF66666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</border>
    <border>
      <left/>
      <top/>
    </border>
    <border>
      <top/>
    </border>
    <border>
      <right/>
      <top/>
    </border>
    <border>
      <left style="thin">
        <color rgb="FFC0392B"/>
      </left>
      <right style="thin">
        <color rgb="FFC0392B"/>
      </right>
      <top style="thin">
        <color rgb="FFC0392B"/>
      </top>
    </border>
    <border>
      <left/>
      <right/>
      <top/>
    </border>
    <border>
      <left/>
      <bottom/>
    </border>
    <border>
      <bottom/>
    </border>
    <border>
      <right/>
      <bottom/>
    </border>
    <border>
      <left style="thin">
        <color rgb="FF1565C0"/>
      </left>
      <right style="thin">
        <color rgb="FF1565C0"/>
      </right>
      <top style="thin">
        <color rgb="FF1565C0"/>
      </top>
      <bottom/>
    </border>
    <border>
      <left style="thin">
        <color rgb="FF1565C0"/>
      </left>
      <right style="thin">
        <color rgb="FF1565C0"/>
      </right>
      <top/>
      <bottom style="thin">
        <color rgb="FF1565C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5" fillId="3" fontId="5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6" fillId="7" fontId="8" numFmtId="164" xfId="0" applyAlignment="1" applyBorder="1" applyFill="1" applyFont="1" applyNumberFormat="1">
      <alignment horizontal="center" shrinkToFit="0" vertical="center" wrapText="0"/>
    </xf>
    <xf borderId="1" fillId="8" fontId="9" numFmtId="0" xfId="0" applyAlignment="1" applyBorder="1" applyFill="1" applyFont="1">
      <alignment horizontal="left" shrinkToFit="0" vertical="center" wrapText="0"/>
    </xf>
    <xf borderId="6" fillId="7" fontId="8" numFmtId="0" xfId="0" applyAlignment="1" applyBorder="1" applyFont="1">
      <alignment horizontal="left" shrinkToFit="0" vertical="center" wrapText="0"/>
    </xf>
    <xf borderId="7" fillId="7" fontId="8" numFmtId="164" xfId="0" applyAlignment="1" applyBorder="1" applyFont="1" applyNumberFormat="1">
      <alignment horizontal="center" shrinkToFit="0" vertical="center" wrapText="0"/>
    </xf>
    <xf borderId="8" fillId="9" fontId="10" numFmtId="0" xfId="0" applyAlignment="1" applyBorder="1" applyFill="1" applyFont="1">
      <alignment horizontal="center" shrinkToFit="0" vertical="center" wrapText="0"/>
    </xf>
    <xf borderId="6" fillId="7" fontId="8" numFmtId="0" xfId="0" applyAlignment="1" applyBorder="1" applyFont="1">
      <alignment horizontal="center" shrinkToFit="0" vertical="center" wrapText="0"/>
    </xf>
    <xf borderId="7" fillId="7" fontId="8" numFmtId="0" xfId="0" applyAlignment="1" applyBorder="1" applyFont="1">
      <alignment horizontal="left" shrinkToFit="0" vertical="center" wrapText="0"/>
    </xf>
    <xf borderId="8" fillId="5" fontId="11" numFmtId="0" xfId="0" applyAlignment="1" applyBorder="1" applyFont="1">
      <alignment horizontal="center" shrinkToFit="0" vertical="center" wrapText="0"/>
    </xf>
    <xf borderId="6" fillId="7" fontId="9" numFmtId="165" xfId="0" applyAlignment="1" applyBorder="1" applyFont="1" applyNumberFormat="1">
      <alignment horizontal="left" shrinkToFit="0" vertical="center" wrapText="0"/>
    </xf>
    <xf borderId="7" fillId="7" fontId="8" numFmtId="0" xfId="0" applyAlignment="1" applyBorder="1" applyFont="1">
      <alignment horizontal="center" shrinkToFit="0" vertical="center" wrapText="0"/>
    </xf>
    <xf borderId="8" fillId="10" fontId="12" numFmtId="0" xfId="0" applyAlignment="1" applyBorder="1" applyFill="1" applyFont="1">
      <alignment horizontal="center" shrinkToFit="0" vertical="center" wrapText="0"/>
    </xf>
    <xf borderId="1" fillId="11" fontId="13" numFmtId="0" xfId="0" applyAlignment="1" applyBorder="1" applyFill="1" applyFont="1">
      <alignment horizontal="center" shrinkToFit="0" vertical="center" wrapText="0"/>
    </xf>
    <xf borderId="9" fillId="8" fontId="7" numFmtId="0" xfId="0" applyAlignment="1" applyBorder="1" applyFont="1">
      <alignment shrinkToFit="0" vertical="bottom" wrapText="0"/>
    </xf>
    <xf borderId="8" fillId="12" fontId="14" numFmtId="0" xfId="0" applyAlignment="1" applyBorder="1" applyFill="1" applyFont="1">
      <alignment horizontal="center" shrinkToFit="0" vertical="center" wrapText="0"/>
    </xf>
    <xf borderId="7" fillId="7" fontId="15" numFmtId="165" xfId="0" applyAlignment="1" applyBorder="1" applyFont="1" applyNumberFormat="1">
      <alignment horizontal="left" shrinkToFit="0" vertical="center" wrapText="0"/>
    </xf>
    <xf borderId="6" fillId="8" fontId="8" numFmtId="164" xfId="0" applyAlignment="1" applyBorder="1" applyFont="1" applyNumberFormat="1">
      <alignment horizontal="center" shrinkToFit="0" vertical="center" wrapText="0"/>
    </xf>
    <xf borderId="10" fillId="6" fontId="16" numFmtId="0" xfId="0" applyAlignment="1" applyBorder="1" applyFont="1">
      <alignment horizontal="center" shrinkToFit="0" vertical="center" wrapText="0"/>
    </xf>
    <xf borderId="6" fillId="8" fontId="8" numFmtId="0" xfId="0" applyAlignment="1" applyBorder="1" applyFont="1">
      <alignment horizontal="left" shrinkToFit="0" vertical="center" wrapText="0"/>
    </xf>
    <xf borderId="6" fillId="8" fontId="8" numFmtId="0" xfId="0" applyAlignment="1" applyBorder="1" applyFont="1">
      <alignment horizontal="center" shrinkToFit="0" vertical="center" wrapText="0"/>
    </xf>
    <xf borderId="6" fillId="8" fontId="9" numFmtId="165" xfId="0" applyAlignment="1" applyBorder="1" applyFont="1" applyNumberFormat="1">
      <alignment horizontal="left" shrinkToFit="0" vertical="center" wrapText="0"/>
    </xf>
    <xf borderId="8" fillId="9" fontId="17" numFmtId="165" xfId="0" applyAlignment="1" applyBorder="1" applyFont="1" applyNumberFormat="1">
      <alignment horizontal="center" shrinkToFit="0" vertical="center" wrapText="0"/>
    </xf>
    <xf borderId="7" fillId="0" fontId="18" numFmtId="0" xfId="0" applyAlignment="1" applyBorder="1" applyFont="1">
      <alignment horizontal="left" shrinkToFit="0" vertical="bottom" wrapText="0"/>
    </xf>
    <xf borderId="8" fillId="5" fontId="19" numFmtId="165" xfId="0" applyAlignment="1" applyBorder="1" applyFont="1" applyNumberFormat="1">
      <alignment horizontal="center"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7" fillId="9" fontId="9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11" fillId="13" fontId="16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5" fillId="3" fontId="16" numFmtId="0" xfId="0" applyAlignment="1" applyBorder="1" applyFont="1">
      <alignment horizontal="center" shrinkToFit="0" vertical="center" wrapText="0"/>
    </xf>
    <xf borderId="6" fillId="0" fontId="9" numFmtId="165" xfId="0" applyAlignment="1" applyBorder="1" applyFont="1" applyNumberFormat="1">
      <alignment horizontal="left" shrinkToFit="0" vertical="center" wrapText="0"/>
    </xf>
    <xf borderId="8" fillId="10" fontId="20" numFmtId="165" xfId="0" applyAlignment="1" applyBorder="1" applyFont="1" applyNumberFormat="1">
      <alignment horizontal="center" shrinkToFit="0" vertical="center" wrapText="0"/>
    </xf>
    <xf borderId="6" fillId="7" fontId="21" numFmtId="0" xfId="0" applyAlignment="1" applyBorder="1" applyFont="1">
      <alignment horizontal="center" shrinkToFit="0" vertical="center" wrapText="0"/>
    </xf>
    <xf borderId="7" fillId="8" fontId="8" numFmtId="164" xfId="0" applyAlignment="1" applyBorder="1" applyFont="1" applyNumberFormat="1">
      <alignment horizontal="center" shrinkToFit="0" vertical="center" wrapText="0"/>
    </xf>
    <xf borderId="6" fillId="7" fontId="21" numFmtId="0" xfId="0" applyAlignment="1" applyBorder="1" applyFont="1">
      <alignment horizontal="left" shrinkToFit="0" vertical="center" wrapText="0"/>
    </xf>
    <xf borderId="7" fillId="8" fontId="8" numFmtId="0" xfId="0" applyAlignment="1" applyBorder="1" applyFont="1">
      <alignment horizontal="left" shrinkToFit="0" vertical="center" wrapText="0"/>
    </xf>
    <xf borderId="6" fillId="7" fontId="21" numFmtId="165" xfId="0" applyAlignment="1" applyBorder="1" applyFont="1" applyNumberFormat="1">
      <alignment horizontal="center" shrinkToFit="0" vertical="center" wrapText="0"/>
    </xf>
    <xf borderId="7" fillId="8" fontId="8" numFmtId="0" xfId="0" applyAlignment="1" applyBorder="1" applyFont="1">
      <alignment horizontal="center" shrinkToFit="0" vertical="center" wrapText="0"/>
    </xf>
    <xf borderId="6" fillId="7" fontId="21" numFmtId="166" xfId="0" applyAlignment="1" applyBorder="1" applyFont="1" applyNumberFormat="1">
      <alignment horizontal="center" shrinkToFit="0" vertical="center" wrapText="0"/>
    </xf>
    <xf borderId="8" fillId="12" fontId="22" numFmtId="167" xfId="0" applyAlignment="1" applyBorder="1" applyFont="1" applyNumberFormat="1">
      <alignment horizontal="center" shrinkToFit="0" vertical="center" wrapText="0"/>
    </xf>
    <xf borderId="7" fillId="8" fontId="15" numFmtId="165" xfId="0" applyAlignment="1" applyBorder="1" applyFont="1" applyNumberFormat="1">
      <alignment horizontal="left" shrinkToFit="0" vertical="center" wrapText="0"/>
    </xf>
    <xf borderId="6" fillId="7" fontId="8" numFmtId="10" xfId="0" applyAlignment="1" applyBorder="1" applyFont="1" applyNumberFormat="1">
      <alignment horizontal="center" shrinkToFit="0" vertical="center" wrapText="0"/>
    </xf>
    <xf borderId="6" fillId="7" fontId="10" numFmtId="165" xfId="0" applyAlignment="1" applyBorder="1" applyFont="1" applyNumberFormat="1">
      <alignment horizontal="center" shrinkToFit="0" vertical="center" wrapText="0"/>
    </xf>
    <xf borderId="8" fillId="12" fontId="22" numFmtId="166" xfId="0" applyAlignment="1" applyBorder="1" applyFont="1" applyNumberFormat="1">
      <alignment horizontal="center" shrinkToFit="0" vertical="center" wrapText="0"/>
    </xf>
    <xf borderId="6" fillId="7" fontId="21" numFmtId="164" xfId="0" applyAlignment="1" applyBorder="1" applyFont="1" applyNumberFormat="1">
      <alignment horizontal="center" shrinkToFit="0" vertical="center" wrapText="0"/>
    </xf>
    <xf borderId="6" fillId="9" fontId="10" numFmtId="0" xfId="0" applyAlignment="1" applyBorder="1" applyFont="1">
      <alignment horizontal="center" shrinkToFit="0" vertical="center" wrapText="0"/>
    </xf>
    <xf borderId="6" fillId="5" fontId="11" numFmtId="0" xfId="0" applyAlignment="1" applyBorder="1" applyFont="1">
      <alignment horizontal="center" shrinkToFit="0" vertical="center" wrapText="0"/>
    </xf>
    <xf borderId="6" fillId="8" fontId="8" numFmtId="168" xfId="0" applyAlignment="1" applyBorder="1" applyFont="1" applyNumberFormat="1">
      <alignment horizontal="center" shrinkToFit="0" vertical="center" wrapText="0"/>
    </xf>
    <xf borderId="12" fillId="2" fontId="5" numFmtId="0" xfId="0" applyAlignment="1" applyBorder="1" applyFont="1">
      <alignment horizontal="center" shrinkToFit="0" vertical="center" wrapText="0"/>
    </xf>
    <xf borderId="6" fillId="10" fontId="23" numFmtId="10" xfId="0" applyAlignment="1" applyBorder="1" applyFont="1" applyNumberFormat="1">
      <alignment horizontal="center" shrinkToFit="0" vertical="center" wrapText="0"/>
    </xf>
    <xf borderId="8" fillId="7" fontId="24" numFmtId="0" xfId="0" applyAlignment="1" applyBorder="1" applyFont="1">
      <alignment horizontal="center" shrinkToFit="0" vertical="center" wrapText="0"/>
    </xf>
    <xf borderId="6" fillId="5" fontId="25" numFmtId="165" xfId="0" applyAlignment="1" applyBorder="1" applyFont="1" applyNumberFormat="1">
      <alignment horizontal="center" shrinkToFit="0" vertical="center" wrapText="0"/>
    </xf>
    <xf borderId="6" fillId="8" fontId="21" numFmtId="0" xfId="0" applyAlignment="1" applyBorder="1" applyFont="1">
      <alignment horizontal="center" shrinkToFit="0" vertical="center" wrapText="0"/>
    </xf>
    <xf borderId="6" fillId="8" fontId="21" numFmtId="0" xfId="0" applyAlignment="1" applyBorder="1" applyFont="1">
      <alignment horizontal="left" shrinkToFit="0" vertical="center" wrapText="0"/>
    </xf>
    <xf borderId="6" fillId="8" fontId="21" numFmtId="165" xfId="0" applyAlignment="1" applyBorder="1" applyFont="1" applyNumberFormat="1">
      <alignment horizontal="center" shrinkToFit="0" vertical="center" wrapText="0"/>
    </xf>
    <xf borderId="6" fillId="8" fontId="21" numFmtId="166" xfId="0" applyAlignment="1" applyBorder="1" applyFont="1" applyNumberFormat="1">
      <alignment horizontal="center" shrinkToFit="0" vertical="center" wrapText="0"/>
    </xf>
    <xf borderId="8" fillId="7" fontId="26" numFmtId="165" xfId="0" applyAlignment="1" applyBorder="1" applyFont="1" applyNumberFormat="1">
      <alignment horizontal="center" shrinkToFit="0" vertical="center" wrapText="0"/>
    </xf>
    <xf borderId="6" fillId="8" fontId="10" numFmtId="165" xfId="0" applyAlignment="1" applyBorder="1" applyFont="1" applyNumberFormat="1">
      <alignment horizontal="center" shrinkToFit="0" vertical="center" wrapText="0"/>
    </xf>
    <xf borderId="6" fillId="8" fontId="21" numFmtId="164" xfId="0" applyAlignment="1" applyBorder="1" applyFont="1" applyNumberFormat="1">
      <alignment horizontal="center" shrinkToFit="0" vertical="center" wrapText="0"/>
    </xf>
    <xf borderId="8" fillId="7" fontId="27" numFmtId="165" xfId="0" applyAlignment="1" applyBorder="1" applyFont="1" applyNumberFormat="1">
      <alignment horizontal="center" shrinkToFit="0" vertical="center" wrapText="0"/>
    </xf>
    <xf borderId="8" fillId="7" fontId="28" numFmtId="165" xfId="0" applyAlignment="1" applyBorder="1" applyFont="1" applyNumberFormat="1">
      <alignment horizontal="center" shrinkToFit="0" vertical="center" wrapText="0"/>
    </xf>
    <xf borderId="8" fillId="7" fontId="8" numFmtId="167" xfId="0" applyAlignment="1" applyBorder="1" applyFont="1" applyNumberFormat="1">
      <alignment horizontal="center" shrinkToFit="0" vertical="center" wrapText="0"/>
    </xf>
    <xf borderId="6" fillId="8" fontId="8" numFmtId="164" xfId="0" applyAlignment="1" applyBorder="1" applyFont="1" applyNumberFormat="1">
      <alignment horizontal="left" shrinkToFit="0" vertical="center" wrapText="0"/>
    </xf>
    <xf borderId="8" fillId="7" fontId="8" numFmtId="166" xfId="0" applyAlignment="1" applyBorder="1" applyFont="1" applyNumberFormat="1">
      <alignment horizontal="center" shrinkToFit="0" vertical="center" wrapText="0"/>
    </xf>
    <xf borderId="8" fillId="8" fontId="24" numFmtId="0" xfId="0" applyAlignment="1" applyBorder="1" applyFont="1">
      <alignment horizontal="center" shrinkToFit="0" vertical="center" wrapText="0"/>
    </xf>
    <xf borderId="8" fillId="8" fontId="26" numFmtId="165" xfId="0" applyAlignment="1" applyBorder="1" applyFont="1" applyNumberFormat="1">
      <alignment horizontal="center" shrinkToFit="0" vertical="center" wrapText="0"/>
    </xf>
    <xf borderId="8" fillId="8" fontId="27" numFmtId="165" xfId="0" applyAlignment="1" applyBorder="1" applyFont="1" applyNumberFormat="1">
      <alignment horizontal="center" shrinkToFit="0" vertical="center" wrapText="0"/>
    </xf>
    <xf borderId="8" fillId="8" fontId="28" numFmtId="165" xfId="0" applyAlignment="1" applyBorder="1" applyFont="1" applyNumberFormat="1">
      <alignment horizontal="center" shrinkToFit="0" vertical="center" wrapText="0"/>
    </xf>
    <xf borderId="8" fillId="8" fontId="8" numFmtId="167" xfId="0" applyAlignment="1" applyBorder="1" applyFont="1" applyNumberFormat="1">
      <alignment horizontal="center" shrinkToFit="0" vertical="center" wrapText="0"/>
    </xf>
    <xf borderId="8" fillId="8" fontId="8" numFmtId="166" xfId="0" applyAlignment="1" applyBorder="1" applyFont="1" applyNumberFormat="1">
      <alignment horizontal="center" shrinkToFit="0" vertical="center" wrapText="0"/>
    </xf>
    <xf borderId="7" fillId="0" fontId="29" numFmtId="0" xfId="0" applyAlignment="1" applyBorder="1" applyFont="1">
      <alignment horizontal="left" shrinkToFit="0" vertical="bottom" wrapText="0"/>
    </xf>
    <xf borderId="6" fillId="7" fontId="8" numFmtId="164" xfId="0" applyAlignment="1" applyBorder="1" applyFont="1" applyNumberFormat="1">
      <alignment horizontal="center" shrinkToFit="0" vertical="center" wrapText="1"/>
    </xf>
    <xf borderId="6" fillId="7" fontId="8" numFmtId="0" xfId="0" applyAlignment="1" applyBorder="1" applyFont="1">
      <alignment horizontal="center" shrinkToFit="0" vertical="center" wrapText="1"/>
    </xf>
    <xf borderId="6" fillId="8" fontId="21" numFmtId="169" xfId="0" applyAlignment="1" applyBorder="1" applyFont="1" applyNumberFormat="1">
      <alignment horizontal="center" shrinkToFit="0" vertical="center" wrapText="0"/>
    </xf>
    <xf borderId="6" fillId="7" fontId="21" numFmtId="169" xfId="0" applyAlignment="1" applyBorder="1" applyFont="1" applyNumberFormat="1">
      <alignment horizontal="center" shrinkToFit="0" vertical="center" wrapText="0"/>
    </xf>
    <xf borderId="1" fillId="2" fontId="30" numFmtId="164" xfId="0" applyAlignment="1" applyBorder="1" applyFont="1" applyNumberFormat="1">
      <alignment horizontal="center" shrinkToFit="0" vertical="center" wrapText="0"/>
    </xf>
    <xf borderId="9" fillId="2" fontId="30" numFmtId="165" xfId="0" applyAlignment="1" applyBorder="1" applyFont="1" applyNumberFormat="1">
      <alignment horizontal="center" shrinkToFit="0" vertical="center" wrapText="0"/>
    </xf>
    <xf borderId="9" fillId="2" fontId="8" numFmtId="0" xfId="0" applyAlignment="1" applyBorder="1" applyFont="1">
      <alignment horizontal="left" shrinkToFit="0" vertical="center" wrapText="0"/>
    </xf>
    <xf borderId="9" fillId="8" fontId="8" numFmtId="164" xfId="0" applyAlignment="1" applyBorder="1" applyFont="1" applyNumberFormat="1">
      <alignment horizontal="center" shrinkToFit="0" vertical="center" wrapText="0"/>
    </xf>
    <xf borderId="9" fillId="8" fontId="8" numFmtId="0" xfId="0" applyAlignment="1" applyBorder="1" applyFont="1">
      <alignment horizontal="left" shrinkToFit="0" vertical="center" wrapText="0"/>
    </xf>
    <xf borderId="9" fillId="8" fontId="8" numFmtId="0" xfId="0" applyAlignment="1" applyBorder="1" applyFont="1">
      <alignment horizontal="center" shrinkToFit="0" vertical="center" wrapText="0"/>
    </xf>
    <xf borderId="9" fillId="8" fontId="9" numFmtId="165" xfId="0" applyAlignment="1" applyBorder="1" applyFont="1" applyNumberFormat="1">
      <alignment horizontal="left" shrinkToFit="0" vertical="center" wrapText="0"/>
    </xf>
    <xf borderId="1" fillId="8" fontId="31" numFmtId="164" xfId="0" applyAlignment="1" applyBorder="1" applyFont="1" applyNumberFormat="1">
      <alignment horizontal="left" shrinkToFit="0" vertical="center" wrapText="0"/>
    </xf>
    <xf borderId="9" fillId="8" fontId="30" numFmtId="0" xfId="0" applyAlignment="1" applyBorder="1" applyFont="1">
      <alignment horizontal="center" shrinkToFit="0" vertical="center" wrapText="0"/>
    </xf>
    <xf borderId="9" fillId="8" fontId="30" numFmtId="165" xfId="0" applyAlignment="1" applyBorder="1" applyFont="1" applyNumberFormat="1">
      <alignment horizontal="center" shrinkToFit="0" vertical="center" wrapText="0"/>
    </xf>
    <xf borderId="6" fillId="8" fontId="8" numFmtId="10" xfId="0" applyAlignment="1" applyBorder="1" applyFont="1" applyNumberFormat="1">
      <alignment horizontal="center" shrinkToFit="0" vertical="center" wrapText="0"/>
    </xf>
    <xf borderId="9" fillId="8" fontId="31" numFmtId="0" xfId="0" applyAlignment="1" applyBorder="1" applyFont="1">
      <alignment horizontal="left" shrinkToFit="0" vertical="center" wrapText="0"/>
    </xf>
    <xf borderId="12" fillId="2" fontId="5" numFmtId="165" xfId="0" applyAlignment="1" applyBorder="1" applyFont="1" applyNumberFormat="1">
      <alignment horizontal="center" shrinkToFit="0" vertical="center" wrapText="0"/>
    </xf>
    <xf borderId="12" fillId="14" fontId="5" numFmtId="165" xfId="0" applyAlignment="1" applyBorder="1" applyFill="1" applyFont="1" applyNumberForma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1" fillId="8" fontId="32" numFmtId="0" xfId="0" applyAlignment="1" applyBorder="1" applyFont="1">
      <alignment horizontal="left" shrinkToFit="0" vertical="center" wrapText="0"/>
    </xf>
    <xf borderId="8" fillId="11" fontId="33" numFmtId="0" xfId="0" applyAlignment="1" applyBorder="1" applyFont="1">
      <alignment horizontal="center" shrinkToFit="0" vertical="center" wrapText="0"/>
    </xf>
    <xf borderId="8" fillId="12" fontId="22" numFmtId="165" xfId="0" applyAlignment="1" applyBorder="1" applyFont="1" applyNumberFormat="1">
      <alignment horizontal="center" shrinkToFit="0" vertical="center" wrapText="0"/>
    </xf>
    <xf borderId="8" fillId="11" fontId="34" numFmtId="167" xfId="0" applyAlignment="1" applyBorder="1" applyFont="1" applyNumberFormat="1">
      <alignment horizontal="center" shrinkToFit="0" vertical="center" wrapText="0"/>
    </xf>
    <xf borderId="6" fillId="8" fontId="21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shrinkToFit="0" vertical="center" wrapText="0"/>
    </xf>
    <xf borderId="13" fillId="6" fontId="5" numFmtId="165" xfId="0" applyAlignment="1" applyBorder="1" applyFont="1" applyNumberFormat="1">
      <alignment horizontal="center" shrinkToFit="0" vertical="center" wrapText="0"/>
    </xf>
    <xf borderId="9" fillId="6" fontId="7" numFmtId="0" xfId="0" applyAlignment="1" applyBorder="1" applyFont="1">
      <alignment shrinkToFit="0" vertical="bottom" wrapText="0"/>
    </xf>
    <xf borderId="14" fillId="15" fontId="7" numFmtId="0" xfId="0" applyAlignment="1" applyBorder="1" applyFill="1" applyFont="1">
      <alignment shrinkToFit="0" vertical="bottom" wrapText="0"/>
    </xf>
    <xf borderId="15" fillId="13" fontId="5" numFmtId="10" xfId="0" applyAlignment="1" applyBorder="1" applyFont="1" applyNumberFormat="1">
      <alignment horizontal="center" shrinkToFit="0" vertical="center" wrapText="0"/>
    </xf>
    <xf borderId="16" fillId="3" fontId="5" numFmtId="165" xfId="0" applyAlignment="1" applyBorder="1" applyFont="1" applyNumberFormat="1">
      <alignment horizontal="center" shrinkToFit="0" vertical="center" wrapText="0"/>
    </xf>
    <xf borderId="9" fillId="8" fontId="35" numFmtId="0" xfId="0" applyAlignment="1" applyBorder="1" applyFont="1">
      <alignment horizontal="center" shrinkToFit="0" vertical="center" wrapText="0"/>
    </xf>
    <xf borderId="9" fillId="8" fontId="36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horizontal="left" shrinkToFit="0" vertical="center" wrapText="0"/>
    </xf>
    <xf borderId="7" fillId="0" fontId="37" numFmtId="0" xfId="0" applyAlignment="1" applyBorder="1" applyFont="1">
      <alignment horizontal="left" shrinkToFit="0" vertical="bottom" wrapText="0"/>
    </xf>
    <xf borderId="8" fillId="11" fontId="32" numFmtId="0" xfId="0" applyAlignment="1" applyBorder="1" applyFont="1">
      <alignment horizontal="left" shrinkToFit="0" vertical="center" wrapText="0"/>
    </xf>
    <xf borderId="8" fillId="11" fontId="38" numFmtId="165" xfId="0" applyAlignment="1" applyBorder="1" applyFont="1" applyNumberFormat="1">
      <alignment horizontal="center" shrinkToFit="0" vertical="center" wrapText="0"/>
    </xf>
    <xf borderId="7" fillId="7" fontId="39" numFmtId="0" xfId="0" applyAlignment="1" applyBorder="1" applyFont="1">
      <alignment horizontal="left" shrinkToFit="0" vertical="center" wrapText="0"/>
    </xf>
    <xf borderId="7" fillId="7" fontId="40" numFmtId="0" xfId="0" applyAlignment="1" applyBorder="1" applyFont="1">
      <alignment horizontal="left" shrinkToFit="0" vertical="center" wrapText="0"/>
    </xf>
    <xf borderId="17" fillId="7" fontId="8" numFmtId="164" xfId="0" applyAlignment="1" applyBorder="1" applyFont="1" applyNumberFormat="1">
      <alignment horizontal="center" shrinkToFit="0" vertical="center" wrapText="0"/>
    </xf>
    <xf borderId="17" fillId="7" fontId="8" numFmtId="0" xfId="0" applyAlignment="1" applyBorder="1" applyFont="1">
      <alignment horizontal="left" shrinkToFit="0" vertical="center" wrapText="0"/>
    </xf>
    <xf borderId="17" fillId="7" fontId="41" numFmtId="0" xfId="0" applyAlignment="1" applyBorder="1" applyFont="1">
      <alignment horizontal="left" shrinkToFit="0" vertical="center" wrapText="0"/>
    </xf>
    <xf borderId="9" fillId="7" fontId="8" numFmtId="0" xfId="0" applyAlignment="1" applyBorder="1" applyFont="1">
      <alignment horizontal="left" shrinkToFit="0" vertical="center" wrapText="0"/>
    </xf>
    <xf borderId="9" fillId="8" fontId="15" numFmtId="165" xfId="0" applyAlignment="1" applyBorder="1" applyFont="1" applyNumberFormat="1">
      <alignment horizontal="left" shrinkToFit="0" vertical="center" wrapText="0"/>
    </xf>
    <xf borderId="6" fillId="7" fontId="42" numFmtId="0" xfId="0" applyAlignment="1" applyBorder="1" applyFont="1">
      <alignment horizontal="left" shrinkToFit="0" vertical="center" wrapText="0"/>
    </xf>
    <xf borderId="18" fillId="9" fontId="9" numFmtId="0" xfId="0" applyAlignment="1" applyBorder="1" applyFont="1">
      <alignment horizontal="center" shrinkToFit="0" vertical="center" wrapText="0"/>
    </xf>
    <xf borderId="18" fillId="7" fontId="8" numFmtId="0" xfId="0" applyAlignment="1" applyBorder="1" applyFont="1">
      <alignment horizontal="left" shrinkToFit="0" vertical="center" wrapText="0"/>
    </xf>
    <xf borderId="19" fillId="7" fontId="15" numFmtId="165" xfId="0" applyAlignment="1" applyBorder="1" applyFont="1" applyNumberFormat="1">
      <alignment horizontal="left" shrinkToFit="0" vertical="center" wrapText="0"/>
    </xf>
    <xf borderId="6" fillId="7" fontId="43" numFmtId="0" xfId="0" applyAlignment="1" applyBorder="1" applyFont="1">
      <alignment horizontal="left" shrinkToFit="0" vertical="center" wrapText="0"/>
    </xf>
    <xf borderId="6" fillId="7" fontId="8" numFmtId="0" xfId="0" applyAlignment="1" applyBorder="1" applyFont="1">
      <alignment horizontal="left" shrinkToFit="0" vertical="center" wrapText="1"/>
    </xf>
    <xf borderId="20" fillId="7" fontId="8" numFmtId="0" xfId="0" applyAlignment="1" applyBorder="1" applyFont="1">
      <alignment horizontal="left" shrinkToFit="0" vertical="center" wrapText="1"/>
    </xf>
    <xf borderId="17" fillId="7" fontId="8" numFmtId="0" xfId="0" applyAlignment="1" applyBorder="1" applyFont="1">
      <alignment horizontal="left"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21" fillId="7" fontId="15" numFmtId="165" xfId="0" applyAlignment="1" applyBorder="1" applyFont="1" applyNumberFormat="1">
      <alignment horizontal="left" shrinkToFit="0" vertical="center" wrapText="1"/>
    </xf>
    <xf borderId="6" fillId="7" fontId="44" numFmtId="0" xfId="0" applyAlignment="1" applyBorder="1" applyFont="1">
      <alignment horizontal="left" shrinkToFit="0" vertical="center" wrapText="1"/>
    </xf>
    <xf borderId="20" fillId="9" fontId="9" numFmtId="0" xfId="0" applyAlignment="1" applyBorder="1" applyFont="1">
      <alignment horizontal="center" shrinkToFit="0" vertical="center" wrapText="1"/>
    </xf>
    <xf borderId="9" fillId="8" fontId="7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6" fillId="7" fontId="45" numFmtId="0" xfId="0" applyAlignment="1" applyBorder="1" applyFont="1">
      <alignment horizontal="left" shrinkToFit="0" vertical="center" wrapText="1"/>
    </xf>
    <xf borderId="17" fillId="8" fontId="15" numFmtId="165" xfId="0" applyAlignment="1" applyBorder="1" applyFont="1" applyNumberFormat="1">
      <alignment horizontal="left" shrinkToFit="0" vertical="center" wrapText="0"/>
    </xf>
    <xf borderId="22" fillId="7" fontId="8" numFmtId="164" xfId="0" applyAlignment="1" applyBorder="1" applyFont="1" applyNumberFormat="1">
      <alignment horizontal="center" shrinkToFit="0" vertical="center" wrapText="1"/>
    </xf>
    <xf borderId="22" fillId="7" fontId="8" numFmtId="0" xfId="0" applyAlignment="1" applyBorder="1" applyFont="1">
      <alignment horizontal="left" shrinkToFit="0" vertical="center" wrapText="0"/>
    </xf>
    <xf borderId="22" fillId="7" fontId="8" numFmtId="0" xfId="0" applyAlignment="1" applyBorder="1" applyFont="1">
      <alignment horizontal="center" shrinkToFit="0" vertical="center" wrapText="1"/>
    </xf>
    <xf borderId="22" fillId="8" fontId="15" numFmtId="165" xfId="0" applyAlignment="1" applyBorder="1" applyFont="1" applyNumberFormat="1">
      <alignment horizontal="left" shrinkToFit="0" vertical="center" wrapText="0"/>
    </xf>
    <xf borderId="22" fillId="7" fontId="46" numFmtId="0" xfId="0" applyAlignment="1" applyBorder="1" applyFont="1">
      <alignment horizontal="left" shrinkToFit="0" vertical="center" wrapText="1"/>
    </xf>
    <xf borderId="22" fillId="7" fontId="8" numFmtId="0" xfId="0" applyAlignment="1" applyBorder="1" applyFont="1">
      <alignment horizontal="left" shrinkToFit="0" vertical="center" wrapText="1"/>
    </xf>
    <xf borderId="6" fillId="8" fontId="15" numFmtId="165" xfId="0" applyAlignment="1" applyBorder="1" applyFont="1" applyNumberFormat="1">
      <alignment horizontal="left" shrinkToFit="0" vertical="center" wrapText="0"/>
    </xf>
    <xf borderId="6" fillId="9" fontId="9" numFmtId="0" xfId="0" applyAlignment="1" applyBorder="1" applyFont="1">
      <alignment horizontal="center" shrinkToFit="0" vertical="center" wrapText="1"/>
    </xf>
    <xf borderId="17" fillId="9" fontId="9" numFmtId="0" xfId="0" applyAlignment="1" applyBorder="1" applyFont="1">
      <alignment horizontal="center" shrinkToFit="0" vertical="center" wrapText="0"/>
    </xf>
    <xf borderId="21" fillId="7" fontId="8" numFmtId="0" xfId="0" applyAlignment="1" applyBorder="1" applyFont="1">
      <alignment horizontal="center" shrinkToFit="0" vertical="center" wrapText="0"/>
    </xf>
    <xf borderId="6" fillId="8" fontId="7" numFmtId="0" xfId="0" applyAlignment="1" applyBorder="1" applyFont="1">
      <alignment shrinkToFit="0" vertical="bottom" wrapText="1"/>
    </xf>
    <xf borderId="6" fillId="8" fontId="15" numFmtId="165" xfId="0" applyAlignment="1" applyBorder="1" applyFont="1" applyNumberFormat="1">
      <alignment horizontal="left" shrinkToFit="0" vertical="center" wrapText="1"/>
    </xf>
    <xf borderId="23" fillId="7" fontId="47" numFmtId="0" xfId="0" applyAlignment="1" applyBorder="1" applyFont="1">
      <alignment horizontal="left" shrinkToFit="0" vertical="center" wrapText="1"/>
    </xf>
    <xf borderId="23" fillId="7" fontId="8" numFmtId="0" xfId="0" applyAlignment="1" applyBorder="1" applyFont="1">
      <alignment horizontal="left" shrinkToFit="0" vertical="center" wrapText="1"/>
    </xf>
    <xf borderId="24" fillId="7" fontId="48" numFmtId="0" xfId="0" applyAlignment="1" applyBorder="1" applyFont="1">
      <alignment horizontal="left" shrinkToFit="0" vertical="center" wrapText="1"/>
    </xf>
    <xf borderId="24" fillId="7" fontId="8" numFmtId="0" xfId="0" applyAlignment="1" applyBorder="1" applyFont="1">
      <alignment horizontal="left" shrinkToFit="0" vertical="center" wrapText="1"/>
    </xf>
    <xf borderId="20" fillId="9" fontId="9" numFmtId="0" xfId="0" applyAlignment="1" applyBorder="1" applyFont="1">
      <alignment horizontal="center" shrinkToFit="0" vertical="center" wrapText="0"/>
    </xf>
    <xf borderId="1" fillId="16" fontId="3" numFmtId="0" xfId="0" applyAlignment="1" applyBorder="1" applyFill="1" applyFont="1">
      <alignment horizontal="center" shrinkToFit="0" vertical="center" wrapText="0"/>
    </xf>
    <xf borderId="1" fillId="12" fontId="49" numFmtId="0" xfId="0" applyAlignment="1" applyBorder="1" applyFont="1">
      <alignment horizontal="center" shrinkToFit="0" vertical="center" wrapText="0"/>
    </xf>
    <xf borderId="25" fillId="16" fontId="5" numFmtId="0" xfId="0" applyAlignment="1" applyBorder="1" applyFont="1">
      <alignment horizontal="center" shrinkToFit="0" vertical="center" wrapText="0"/>
    </xf>
    <xf borderId="8" fillId="9" fontId="9" numFmtId="0" xfId="0" applyAlignment="1" applyBorder="1" applyFont="1">
      <alignment horizontal="left" shrinkToFit="0" vertical="center" wrapText="0"/>
    </xf>
    <xf borderId="8" fillId="9" fontId="9" numFmtId="165" xfId="0" applyAlignment="1" applyBorder="1" applyFont="1" applyNumberFormat="1">
      <alignment horizontal="center" shrinkToFit="0" vertical="center" wrapText="0"/>
    </xf>
    <xf borderId="8" fillId="8" fontId="26" numFmtId="0" xfId="0" applyAlignment="1" applyBorder="1" applyFont="1">
      <alignment horizontal="left" shrinkToFit="0" vertical="center" wrapText="0"/>
    </xf>
    <xf borderId="6" fillId="9" fontId="9" numFmtId="0" xfId="0" applyAlignment="1" applyBorder="1" applyFont="1">
      <alignment horizontal="center" shrinkToFit="0" vertical="center" wrapText="0"/>
    </xf>
    <xf borderId="26" fillId="3" fontId="5" numFmtId="0" xfId="0" applyAlignment="1" applyBorder="1" applyFont="1">
      <alignment horizontal="center" shrinkToFit="0" vertical="center" wrapText="0"/>
    </xf>
    <xf borderId="27" fillId="3" fontId="30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29" fillId="0" fontId="2" numFmtId="0" xfId="0" applyBorder="1" applyFont="1"/>
    <xf borderId="30" fillId="3" fontId="30" numFmtId="165" xfId="0" applyAlignment="1" applyBorder="1" applyFont="1" applyNumberFormat="1">
      <alignment horizontal="center" shrinkToFit="0" vertical="center" wrapText="0"/>
    </xf>
    <xf borderId="31" fillId="3" fontId="8" numFmtId="164" xfId="0" applyAlignment="1" applyBorder="1" applyFont="1" applyNumberFormat="1">
      <alignment horizontal="center" shrinkToFit="0" vertical="center" wrapText="0"/>
    </xf>
    <xf borderId="31" fillId="3" fontId="8" numFmtId="0" xfId="0" applyAlignment="1" applyBorder="1" applyFont="1">
      <alignment horizontal="left" shrinkToFit="0" vertical="center" wrapText="0"/>
    </xf>
    <xf borderId="31" fillId="3" fontId="50" numFmtId="0" xfId="0" applyAlignment="1" applyBorder="1" applyFont="1">
      <alignment horizontal="left" shrinkToFit="0" vertical="center" wrapText="0"/>
    </xf>
    <xf borderId="31" fillId="3" fontId="8" numFmtId="0" xfId="0" applyAlignment="1" applyBorder="1" applyFont="1">
      <alignment horizontal="center" shrinkToFit="0" vertical="center" wrapText="0"/>
    </xf>
    <xf borderId="6" fillId="8" fontId="15" numFmtId="165" xfId="0" applyAlignment="1" applyBorder="1" applyFont="1" applyNumberFormat="1">
      <alignment horizontal="center" shrinkToFit="0" vertical="center" wrapText="0"/>
    </xf>
    <xf borderId="6" fillId="8" fontId="50" numFmtId="0" xfId="0" applyAlignment="1" applyBorder="1" applyFont="1">
      <alignment horizontal="center" shrinkToFit="0" vertical="center" wrapText="0"/>
    </xf>
    <xf borderId="3" fillId="8" fontId="7" numFmtId="0" xfId="0" applyAlignment="1" applyBorder="1" applyFont="1">
      <alignment shrinkToFit="0" vertical="bottom" wrapText="0"/>
    </xf>
    <xf borderId="8" fillId="8" fontId="9" numFmtId="165" xfId="0" applyAlignment="1" applyBorder="1" applyFont="1" applyNumberFormat="1">
      <alignment horizontal="center" shrinkToFit="0" vertical="center" wrapText="0"/>
    </xf>
    <xf borderId="6" fillId="7" fontId="15" numFmtId="165" xfId="0" applyAlignment="1" applyBorder="1" applyFont="1" applyNumberFormat="1">
      <alignment horizontal="center" shrinkToFit="0" vertical="center" wrapText="0"/>
    </xf>
    <xf borderId="20" fillId="7" fontId="8" numFmtId="0" xfId="0" applyAlignment="1" applyBorder="1" applyFont="1">
      <alignment horizontal="left" shrinkToFit="0" vertical="center" wrapText="0"/>
    </xf>
    <xf borderId="6" fillId="8" fontId="8" numFmtId="164" xfId="0" applyAlignment="1" applyBorder="1" applyFont="1" applyNumberFormat="1">
      <alignment horizontal="center" readingOrder="0" shrinkToFit="0" vertical="center" wrapText="0"/>
    </xf>
    <xf borderId="6" fillId="8" fontId="8" numFmtId="0" xfId="0" applyAlignment="1" applyBorder="1" applyFont="1">
      <alignment horizontal="left" readingOrder="0" shrinkToFit="0" vertical="center" wrapText="0"/>
    </xf>
    <xf borderId="6" fillId="8" fontId="15" numFmtId="165" xfId="0" applyAlignment="1" applyBorder="1" applyFont="1" applyNumberFormat="1">
      <alignment horizontal="center" readingOrder="0" shrinkToFit="0" vertical="center" wrapText="0"/>
    </xf>
    <xf borderId="6" fillId="7" fontId="51" numFmtId="0" xfId="0" applyAlignment="1" applyBorder="1" applyFont="1">
      <alignment horizontal="left" shrinkToFit="0" vertical="center" wrapText="1"/>
    </xf>
    <xf borderId="6" fillId="8" fontId="15" numFmtId="169" xfId="0" applyAlignment="1" applyBorder="1" applyFont="1" applyNumberFormat="1">
      <alignment horizontal="left" shrinkToFit="0" vertical="center" wrapText="0"/>
    </xf>
    <xf borderId="8" fillId="5" fontId="15" numFmtId="0" xfId="0" applyAlignment="1" applyBorder="1" applyFont="1">
      <alignment horizontal="left" shrinkToFit="0" vertical="center" wrapText="0"/>
    </xf>
    <xf borderId="8" fillId="5" fontId="15" numFmtId="165" xfId="0" applyAlignment="1" applyBorder="1" applyFont="1" applyNumberFormat="1">
      <alignment horizontal="center" shrinkToFit="0" vertical="center" wrapText="0"/>
    </xf>
    <xf borderId="8" fillId="12" fontId="52" numFmtId="0" xfId="0" applyAlignment="1" applyBorder="1" applyFont="1">
      <alignment horizontal="left" shrinkToFit="0" vertical="center" wrapText="0"/>
    </xf>
    <xf borderId="8" fillId="12" fontId="52" numFmtId="165" xfId="0" applyAlignment="1" applyBorder="1" applyFont="1" applyNumberFormat="1">
      <alignment horizontal="center" shrinkToFit="0" vertical="center" wrapText="0"/>
    </xf>
    <xf borderId="6" fillId="7" fontId="8" numFmtId="0" xfId="0" applyAlignment="1" applyBorder="1" applyFont="1">
      <alignment horizontal="left" readingOrder="0" shrinkToFit="0" vertical="center" wrapText="0"/>
    </xf>
    <xf borderId="6" fillId="7" fontId="15" numFmtId="165" xfId="0" applyAlignment="1" applyBorder="1" applyFont="1" applyNumberFormat="1">
      <alignment horizontal="center" readingOrder="0" shrinkToFit="0" vertical="center" wrapText="0"/>
    </xf>
    <xf borderId="32" fillId="8" fontId="31" numFmtId="0" xfId="0" applyAlignment="1" applyBorder="1" applyFont="1">
      <alignment horizontal="left" shrinkToFit="0" vertical="center" wrapText="0"/>
    </xf>
    <xf borderId="33" fillId="0" fontId="2" numFmtId="0" xfId="0" applyBorder="1" applyFont="1"/>
    <xf borderId="34" fillId="0" fontId="2" numFmtId="0" xfId="0" applyBorder="1" applyFont="1"/>
    <xf borderId="8" fillId="8" fontId="27" numFmtId="0" xfId="0" applyAlignment="1" applyBorder="1" applyFont="1">
      <alignment horizontal="left" shrinkToFit="0" vertical="center" wrapText="0"/>
    </xf>
    <xf borderId="9" fillId="8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8" fillId="8" fontId="15" numFmtId="165" xfId="0" applyAlignment="1" applyBorder="1" applyFont="1" applyNumberFormat="1">
      <alignment horizontal="center" shrinkToFit="0" vertical="center" wrapText="0"/>
    </xf>
    <xf borderId="6" fillId="7" fontId="29" numFmtId="164" xfId="0" applyAlignment="1" applyBorder="1" applyFont="1" applyNumberFormat="1">
      <alignment horizontal="center" shrinkToFit="0" vertical="bottom" wrapText="1"/>
    </xf>
    <xf borderId="6" fillId="7" fontId="29" numFmtId="0" xfId="0" applyAlignment="1" applyBorder="1" applyFont="1">
      <alignment shrinkToFit="0" vertical="bottom" wrapText="0"/>
    </xf>
    <xf borderId="6" fillId="7" fontId="29" numFmtId="0" xfId="0" applyAlignment="1" applyBorder="1" applyFont="1">
      <alignment horizontal="center" shrinkToFit="0" vertical="bottom" wrapText="0"/>
    </xf>
    <xf borderId="6" fillId="7" fontId="53" numFmtId="0" xfId="0" applyAlignment="1" applyBorder="1" applyFont="1">
      <alignment shrinkToFit="0" vertical="bottom" wrapText="0"/>
    </xf>
    <xf borderId="6" fillId="7" fontId="7" numFmtId="0" xfId="0" applyAlignment="1" applyBorder="1" applyFont="1">
      <alignment shrinkToFit="0" vertical="bottom" wrapText="0"/>
    </xf>
    <xf borderId="1" fillId="16" fontId="54" numFmtId="0" xfId="0" applyAlignment="1" applyBorder="1" applyFont="1">
      <alignment horizontal="center" shrinkToFit="0" vertical="center" wrapText="0"/>
    </xf>
    <xf borderId="35" fillId="16" fontId="5" numFmtId="0" xfId="0" applyAlignment="1" applyBorder="1" applyFont="1">
      <alignment horizontal="center" shrinkToFit="0" vertical="center" wrapText="0"/>
    </xf>
    <xf borderId="6" fillId="7" fontId="52" numFmtId="165" xfId="0" applyAlignment="1" applyBorder="1" applyFont="1" applyNumberFormat="1">
      <alignment horizontal="center" shrinkToFit="0" vertical="center" wrapText="0"/>
    </xf>
    <xf borderId="6" fillId="8" fontId="52" numFmtId="165" xfId="0" applyAlignment="1" applyBorder="1" applyFont="1" applyNumberFormat="1">
      <alignment horizontal="center" shrinkToFit="0" vertical="center" wrapText="0"/>
    </xf>
    <xf borderId="6" fillId="17" fontId="9" numFmtId="0" xfId="0" applyAlignment="1" applyBorder="1" applyFill="1" applyFont="1">
      <alignment horizontal="center" shrinkToFit="0" vertical="center" wrapText="0"/>
    </xf>
    <xf borderId="1" fillId="16" fontId="30" numFmtId="0" xfId="0" applyAlignment="1" applyBorder="1" applyFont="1">
      <alignment horizontal="center" shrinkToFit="0" vertical="center" wrapText="0"/>
    </xf>
    <xf borderId="36" fillId="16" fontId="30" numFmtId="165" xfId="0" applyAlignment="1" applyBorder="1" applyFont="1" applyNumberFormat="1">
      <alignment horizontal="center" shrinkToFit="0" vertical="center" wrapText="0"/>
    </xf>
    <xf borderId="9" fillId="16" fontId="7" numFmtId="0" xfId="0" applyAlignment="1" applyBorder="1" applyFont="1">
      <alignment shrinkToFit="0" vertical="bottom" wrapText="0"/>
    </xf>
    <xf borderId="8" fillId="10" fontId="23" numFmtId="0" xfId="0" applyAlignment="1" applyBorder="1" applyFont="1">
      <alignment horizontal="left" shrinkToFit="0" vertical="center" wrapText="0"/>
    </xf>
    <xf borderId="1" fillId="8" fontId="31" numFmtId="0" xfId="0" applyAlignment="1" applyBorder="1" applyFont="1">
      <alignment horizontal="left" shrinkToFit="0" vertical="center" wrapText="0"/>
    </xf>
    <xf borderId="8" fillId="10" fontId="23" numFmtId="165" xfId="0" applyAlignment="1" applyBorder="1" applyFont="1" applyNumberFormat="1">
      <alignment horizontal="center" shrinkToFit="0" vertical="center" wrapText="0"/>
    </xf>
    <xf borderId="37" fillId="3" fontId="30" numFmtId="0" xfId="0" applyAlignment="1" applyBorder="1" applyFont="1">
      <alignment horizontal="center" shrinkToFit="0" vertical="center" wrapText="0"/>
    </xf>
    <xf borderId="38" fillId="0" fontId="2" numFmtId="0" xfId="0" applyBorder="1" applyFont="1"/>
    <xf borderId="39" fillId="0" fontId="2" numFmtId="0" xfId="0" applyBorder="1" applyFont="1"/>
    <xf borderId="6" fillId="3" fontId="30" numFmtId="165" xfId="0" applyAlignment="1" applyBorder="1" applyFont="1" applyNumberFormat="1">
      <alignment horizontal="center" shrinkToFit="0" vertical="center" wrapText="0"/>
    </xf>
    <xf borderId="6" fillId="3" fontId="7" numFmtId="0" xfId="0" applyAlignment="1" applyBorder="1" applyFont="1">
      <alignment shrinkToFit="0" vertical="center" wrapText="0"/>
    </xf>
    <xf borderId="9" fillId="8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8" fillId="9" fontId="9" numFmtId="167" xfId="0" applyAlignment="1" applyBorder="1" applyFont="1" applyNumberFormat="1">
      <alignment horizontal="center" shrinkToFit="0" vertical="center" wrapText="0"/>
    </xf>
    <xf borderId="8" fillId="12" fontId="52" numFmtId="166" xfId="0" applyAlignment="1" applyBorder="1" applyFont="1" applyNumberFormat="1">
      <alignment horizontal="center" shrinkToFit="0" vertical="center" wrapText="0"/>
    </xf>
    <xf borderId="1" fillId="13" fontId="3" numFmtId="0" xfId="0" applyAlignment="1" applyBorder="1" applyFont="1">
      <alignment horizontal="center" shrinkToFit="0" vertical="center" wrapText="0"/>
    </xf>
    <xf borderId="1" fillId="10" fontId="55" numFmtId="0" xfId="0" applyAlignment="1" applyBorder="1" applyFont="1">
      <alignment horizontal="center" shrinkToFit="0" vertical="center" wrapText="0"/>
    </xf>
    <xf borderId="40" fillId="13" fontId="5" numFmtId="0" xfId="0" applyAlignment="1" applyBorder="1" applyFont="1">
      <alignment horizontal="center" shrinkToFit="0" vertical="center" wrapText="0"/>
    </xf>
    <xf borderId="8" fillId="7" fontId="8" numFmtId="0" xfId="0" applyAlignment="1" applyBorder="1" applyFont="1">
      <alignment horizontal="left" shrinkToFit="0" vertical="center" wrapText="0"/>
    </xf>
    <xf borderId="8" fillId="18" fontId="23" numFmtId="165" xfId="0" applyAlignment="1" applyBorder="1" applyFill="1" applyFont="1" applyNumberFormat="1">
      <alignment horizontal="center" shrinkToFit="0" vertical="center" wrapText="0"/>
    </xf>
    <xf borderId="8" fillId="7" fontId="8" numFmtId="165" xfId="0" applyAlignment="1" applyBorder="1" applyFont="1" applyNumberFormat="1">
      <alignment horizontal="center" shrinkToFit="0" vertical="center" wrapText="0"/>
    </xf>
    <xf borderId="8" fillId="7" fontId="8" numFmtId="1" xfId="0" applyAlignment="1" applyBorder="1" applyFont="1" applyNumberFormat="1">
      <alignment horizontal="center" shrinkToFit="0" vertical="center" wrapText="0"/>
    </xf>
    <xf borderId="8" fillId="8" fontId="8" numFmtId="0" xfId="0" applyAlignment="1" applyBorder="1" applyFont="1">
      <alignment horizontal="left" shrinkToFit="0" vertical="center" wrapText="0"/>
    </xf>
    <xf borderId="8" fillId="8" fontId="8" numFmtId="165" xfId="0" applyAlignment="1" applyBorder="1" applyFont="1" applyNumberFormat="1">
      <alignment horizontal="center" shrinkToFit="0" vertical="center" wrapText="0"/>
    </xf>
    <xf borderId="8" fillId="8" fontId="8" numFmtId="1" xfId="0" applyAlignment="1" applyBorder="1" applyFont="1" applyNumberFormat="1">
      <alignment horizontal="center" shrinkToFit="0" vertical="center" wrapText="0"/>
    </xf>
    <xf borderId="40" fillId="13" fontId="30" numFmtId="0" xfId="0" applyAlignment="1" applyBorder="1" applyFont="1">
      <alignment horizontal="left" shrinkToFit="0" vertical="center" wrapText="0"/>
    </xf>
    <xf borderId="40" fillId="13" fontId="30" numFmtId="165" xfId="0" applyAlignment="1" applyBorder="1" applyFont="1" applyNumberFormat="1">
      <alignment horizontal="center" shrinkToFit="0" vertical="center" wrapText="0"/>
    </xf>
    <xf borderId="9" fillId="13" fontId="8" numFmtId="1" xfId="0" applyAlignment="1" applyBorder="1" applyFont="1" applyNumberFormat="1">
      <alignment horizontal="center" shrinkToFit="0" vertical="center" wrapText="0"/>
    </xf>
    <xf borderId="9" fillId="13" fontId="8" numFmtId="0" xfId="0" applyAlignment="1" applyBorder="1" applyFont="1">
      <alignment horizontal="left" shrinkToFit="0" vertical="center" wrapText="0"/>
    </xf>
    <xf borderId="9" fillId="8" fontId="23" numFmtId="165" xfId="0" applyAlignment="1" applyBorder="1" applyFont="1" applyNumberFormat="1">
      <alignment horizontal="center" shrinkToFit="0" vertical="center" wrapText="0"/>
    </xf>
    <xf borderId="9" fillId="8" fontId="8" numFmtId="165" xfId="0" applyAlignment="1" applyBorder="1" applyFont="1" applyNumberFormat="1">
      <alignment horizontal="center" shrinkToFit="0" vertical="center" wrapText="0"/>
    </xf>
    <xf borderId="9" fillId="8" fontId="8" numFmtId="1" xfId="0" applyAlignment="1" applyBorder="1" applyFont="1" applyNumberFormat="1">
      <alignment horizontal="center" shrinkToFit="0" vertical="center" wrapText="0"/>
    </xf>
    <xf borderId="1" fillId="16" fontId="5" numFmtId="0" xfId="0" applyAlignment="1" applyBorder="1" applyFont="1">
      <alignment horizontal="center" shrinkToFit="0" vertical="center" wrapText="0"/>
    </xf>
    <xf borderId="8" fillId="12" fontId="8" numFmtId="0" xfId="0" applyAlignment="1" applyBorder="1" applyFont="1">
      <alignment horizontal="left" shrinkToFit="0" vertical="center" wrapText="0"/>
    </xf>
    <xf borderId="8" fillId="18" fontId="52" numFmtId="166" xfId="0" applyAlignment="1" applyBorder="1" applyFont="1" applyNumberFormat="1">
      <alignment horizontal="center" shrinkToFit="0" vertical="center" wrapText="0"/>
    </xf>
    <xf borderId="41" fillId="12" fontId="31" numFmtId="165" xfId="0" applyAlignment="1" applyBorder="1" applyFont="1" applyNumberFormat="1">
      <alignment horizontal="left" shrinkToFit="0" vertical="center" wrapText="0"/>
    </xf>
    <xf borderId="42" fillId="0" fontId="2" numFmtId="0" xfId="0" applyBorder="1" applyFont="1"/>
    <xf borderId="43" fillId="0" fontId="2" numFmtId="0" xfId="0" applyBorder="1" applyFont="1"/>
    <xf borderId="9" fillId="8" fontId="5" numFmtId="0" xfId="0" applyAlignment="1" applyBorder="1" applyFont="1">
      <alignment horizontal="center" shrinkToFit="0" vertical="center" wrapText="0"/>
    </xf>
    <xf borderId="9" fillId="8" fontId="52" numFmtId="166" xfId="0" applyAlignment="1" applyBorder="1" applyFont="1" applyNumberFormat="1">
      <alignment horizontal="center" shrinkToFit="0" vertical="center" wrapText="0"/>
    </xf>
    <xf borderId="1" fillId="6" fontId="56" numFmtId="0" xfId="0" applyAlignment="1" applyBorder="1" applyFont="1">
      <alignment horizontal="center" shrinkToFit="0" vertical="center" wrapText="0"/>
    </xf>
    <xf borderId="1" fillId="11" fontId="32" numFmtId="0" xfId="0" applyAlignment="1" applyBorder="1" applyFont="1">
      <alignment horizontal="center" shrinkToFit="0" vertical="center" wrapText="0"/>
    </xf>
    <xf borderId="8" fillId="11" fontId="33" numFmtId="0" xfId="0" applyAlignment="1" applyBorder="1" applyFont="1">
      <alignment horizontal="left" shrinkToFit="0" vertical="center" wrapText="0"/>
    </xf>
    <xf borderId="41" fillId="18" fontId="34" numFmtId="166" xfId="0" applyAlignment="1" applyBorder="1" applyFont="1" applyNumberFormat="1">
      <alignment horizontal="center" shrinkToFit="0" vertical="center" wrapText="0"/>
    </xf>
    <xf borderId="41" fillId="11" fontId="31" numFmtId="0" xfId="0" applyAlignment="1" applyBorder="1" applyFont="1">
      <alignment horizontal="left" shrinkToFit="0" vertical="center" wrapText="0"/>
    </xf>
    <xf borderId="1" fillId="6" fontId="30" numFmtId="0" xfId="0" applyAlignment="1" applyBorder="1" applyFont="1">
      <alignment horizontal="center" shrinkToFit="0" vertical="center" wrapText="0"/>
    </xf>
    <xf borderId="44" fillId="6" fontId="5" numFmtId="0" xfId="0" applyAlignment="1" applyBorder="1" applyFont="1">
      <alignment horizontal="center" shrinkToFit="0" vertical="center" wrapText="0"/>
    </xf>
    <xf borderId="8" fillId="7" fontId="32" numFmtId="0" xfId="0" applyAlignment="1" applyBorder="1" applyFont="1">
      <alignment horizontal="center" shrinkToFit="0" vertical="center" wrapText="0"/>
    </xf>
    <xf borderId="8" fillId="7" fontId="57" numFmtId="166" xfId="0" applyAlignment="1" applyBorder="1" applyFont="1" applyNumberFormat="1">
      <alignment horizontal="center" shrinkToFit="0" vertical="center" wrapText="0"/>
    </xf>
    <xf borderId="8" fillId="7" fontId="38" numFmtId="165" xfId="0" applyAlignment="1" applyBorder="1" applyFont="1" applyNumberFormat="1">
      <alignment horizontal="center" shrinkToFit="0" vertical="center" wrapText="0"/>
    </xf>
    <xf borderId="8" fillId="9" fontId="9" numFmtId="0" xfId="0" applyAlignment="1" applyBorder="1" applyFont="1">
      <alignment horizontal="center" shrinkToFit="0" vertical="center" wrapText="0"/>
    </xf>
    <xf borderId="8" fillId="8" fontId="32" numFmtId="0" xfId="0" applyAlignment="1" applyBorder="1" applyFont="1">
      <alignment horizontal="center" shrinkToFit="0" vertical="center" wrapText="0"/>
    </xf>
    <xf borderId="8" fillId="8" fontId="57" numFmtId="166" xfId="0" applyAlignment="1" applyBorder="1" applyFont="1" applyNumberFormat="1">
      <alignment horizontal="center" shrinkToFit="0" vertical="center" wrapText="0"/>
    </xf>
    <xf borderId="8" fillId="8" fontId="38" numFmtId="165" xfId="0" applyAlignment="1" applyBorder="1" applyFont="1" applyNumberFormat="1">
      <alignment horizontal="center" shrinkToFit="0" vertical="center" wrapText="0"/>
    </xf>
    <xf borderId="8" fillId="18" fontId="23" numFmtId="0" xfId="0" applyAlignment="1" applyBorder="1" applyFont="1">
      <alignment horizontal="center" shrinkToFit="0" vertical="center" wrapText="0"/>
    </xf>
    <xf borderId="8" fillId="18" fontId="58" numFmtId="0" xfId="0" applyAlignment="1" applyBorder="1" applyFont="1">
      <alignment horizontal="center" shrinkToFit="0" vertical="center" wrapText="0"/>
    </xf>
    <xf borderId="8" fillId="18" fontId="57" numFmtId="166" xfId="0" applyAlignment="1" applyBorder="1" applyFont="1" applyNumberFormat="1">
      <alignment horizontal="center" shrinkToFit="0" vertical="center" wrapText="0"/>
    </xf>
    <xf borderId="8" fillId="18" fontId="38" numFmtId="165" xfId="0" applyAlignment="1" applyBorder="1" applyFont="1" applyNumberFormat="1">
      <alignment horizontal="center" shrinkToFit="0" vertical="center" wrapText="0"/>
    </xf>
    <xf borderId="8" fillId="18" fontId="50" numFmtId="0" xfId="0" applyAlignment="1" applyBorder="1" applyFont="1">
      <alignment horizontal="center" shrinkToFit="0" vertical="center" wrapText="0"/>
    </xf>
    <xf borderId="1" fillId="15" fontId="30" numFmtId="0" xfId="0" applyAlignment="1" applyBorder="1" applyFont="1">
      <alignment horizontal="center" shrinkToFit="0" vertical="center" wrapText="0"/>
    </xf>
    <xf borderId="45" fillId="15" fontId="16" numFmtId="0" xfId="0" applyAlignment="1" applyBorder="1" applyFont="1">
      <alignment horizontal="center" shrinkToFit="0" vertical="center" wrapText="0"/>
    </xf>
    <xf borderId="8" fillId="7" fontId="21" numFmtId="0" xfId="0" applyAlignment="1" applyBorder="1" applyFont="1">
      <alignment horizontal="left" shrinkToFit="0" vertical="center" wrapText="0"/>
    </xf>
    <xf borderId="8" fillId="7" fontId="21" numFmtId="164" xfId="0" applyAlignment="1" applyBorder="1" applyFont="1" applyNumberFormat="1">
      <alignment horizontal="center" shrinkToFit="0" vertical="center" wrapText="0"/>
    </xf>
    <xf borderId="8" fillId="7" fontId="59" numFmtId="165" xfId="0" applyAlignment="1" applyBorder="1" applyFont="1" applyNumberFormat="1">
      <alignment horizontal="center" shrinkToFit="0" vertical="center" wrapText="0"/>
    </xf>
    <xf borderId="8" fillId="19" fontId="60" numFmtId="165" xfId="0" applyAlignment="1" applyBorder="1" applyFill="1" applyFont="1" applyNumberFormat="1">
      <alignment horizontal="center" shrinkToFit="0" vertical="center" wrapText="0"/>
    </xf>
    <xf borderId="8" fillId="7" fontId="21" numFmtId="165" xfId="0" applyAlignment="1" applyBorder="1" applyFont="1" applyNumberFormat="1">
      <alignment horizontal="center" shrinkToFit="0" vertical="center" wrapText="0"/>
    </xf>
    <xf borderId="8" fillId="11" fontId="32" numFmtId="165" xfId="0" applyAlignment="1" applyBorder="1" applyFont="1" applyNumberFormat="1">
      <alignment horizontal="center" shrinkToFit="0" vertical="center" wrapText="0"/>
    </xf>
    <xf borderId="8" fillId="8" fontId="21" numFmtId="0" xfId="0" applyAlignment="1" applyBorder="1" applyFont="1">
      <alignment horizontal="left" shrinkToFit="0" vertical="center" wrapText="0"/>
    </xf>
    <xf borderId="8" fillId="8" fontId="21" numFmtId="164" xfId="0" applyAlignment="1" applyBorder="1" applyFont="1" applyNumberFormat="1">
      <alignment horizontal="center" shrinkToFit="0" vertical="center" wrapText="0"/>
    </xf>
    <xf borderId="8" fillId="8" fontId="59" numFmtId="165" xfId="0" applyAlignment="1" applyBorder="1" applyFont="1" applyNumberFormat="1">
      <alignment horizontal="center" shrinkToFit="0" vertical="center" wrapText="0"/>
    </xf>
    <xf borderId="8" fillId="5" fontId="60" numFmtId="165" xfId="0" applyAlignment="1" applyBorder="1" applyFont="1" applyNumberFormat="1">
      <alignment horizontal="center" shrinkToFit="0" vertical="center" wrapText="0"/>
    </xf>
    <xf borderId="8" fillId="8" fontId="21" numFmtId="165" xfId="0" applyAlignment="1" applyBorder="1" applyFont="1" applyNumberFormat="1">
      <alignment horizontal="center" shrinkToFit="0" vertical="center" wrapText="0"/>
    </xf>
    <xf borderId="8" fillId="18" fontId="61" numFmtId="0" xfId="0" applyAlignment="1" applyBorder="1" applyFont="1">
      <alignment horizontal="center" shrinkToFit="0" vertical="center" wrapText="0"/>
    </xf>
    <xf borderId="1" fillId="20" fontId="30" numFmtId="0" xfId="0" applyAlignment="1" applyBorder="1" applyFill="1" applyFont="1">
      <alignment horizontal="center" shrinkToFit="0" vertical="center" wrapText="0"/>
    </xf>
    <xf borderId="41" fillId="8" fontId="8" numFmtId="0" xfId="0" applyAlignment="1" applyBorder="1" applyFont="1">
      <alignment horizontal="left" shrinkToFit="0" vertical="center" wrapText="1"/>
    </xf>
    <xf borderId="41" fillId="7" fontId="8" numFmtId="0" xfId="0" applyAlignment="1" applyBorder="1" applyFont="1">
      <alignment horizontal="left" shrinkToFit="0" vertical="center" wrapText="1"/>
    </xf>
    <xf borderId="8" fillId="7" fontId="60" numFmtId="165" xfId="0" applyAlignment="1" applyBorder="1" applyFont="1" applyNumberFormat="1">
      <alignment horizontal="center" shrinkToFit="0" vertical="center" wrapText="0"/>
    </xf>
    <xf borderId="1" fillId="15" fontId="5" numFmtId="0" xfId="0" applyAlignment="1" applyBorder="1" applyFont="1">
      <alignment horizontal="center" shrinkToFit="0" vertical="center" wrapText="0"/>
    </xf>
    <xf borderId="45" fillId="15" fontId="5" numFmtId="165" xfId="0" applyAlignment="1" applyBorder="1" applyFont="1" applyNumberFormat="1">
      <alignment horizontal="center" shrinkToFit="0" vertical="center" wrapText="0"/>
    </xf>
    <xf borderId="9" fillId="15" fontId="7" numFmtId="0" xfId="0" applyAlignment="1" applyBorder="1" applyFont="1">
      <alignment shrinkToFit="0" vertical="bottom" wrapText="0"/>
    </xf>
    <xf borderId="1" fillId="10" fontId="23" numFmtId="0" xfId="0" applyAlignment="1" applyBorder="1" applyFont="1">
      <alignment horizontal="left" shrinkToFit="0" vertical="center" wrapText="1"/>
    </xf>
    <xf borderId="1" fillId="11" fontId="3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ZNYbfW9y3VYcAkdxETMWq9c5ZF3vlqe/view?usp=sharing" TargetMode="External"/><Relationship Id="rId42" Type="http://schemas.openxmlformats.org/officeDocument/2006/relationships/hyperlink" Target="https://drive.google.com/file/d/1GbFID4RFIvdXs8L_YsoCoGdfwvdw1KfN/view?usp=drive_link" TargetMode="External"/><Relationship Id="rId41" Type="http://schemas.openxmlformats.org/officeDocument/2006/relationships/hyperlink" Target="https://drive.google.com/file/d/1aZ2hFAZrcHJv4YH3dCOHkSTPOE5ndYQ-/view?usp=drive_link" TargetMode="External"/><Relationship Id="rId44" Type="http://schemas.openxmlformats.org/officeDocument/2006/relationships/hyperlink" Target="https://drive.google.com/file/d/1N6dT6aeVKU0C6XamQzkRd7DJ-ryRS7JK/view?usp=sharing" TargetMode="External"/><Relationship Id="rId43" Type="http://schemas.openxmlformats.org/officeDocument/2006/relationships/hyperlink" Target="https://drive.google.com/file/d/1Pb_0l7lXD6aukK99noospnnIjRwIa8Vq/view?usp=sharing" TargetMode="External"/><Relationship Id="rId46" Type="http://schemas.openxmlformats.org/officeDocument/2006/relationships/hyperlink" Target="https://drive.google.com/file/d/1khO4xO2yvtNKh4arP00VfiXBbh_cTo2u/view?usp=sharing" TargetMode="External"/><Relationship Id="rId45" Type="http://schemas.openxmlformats.org/officeDocument/2006/relationships/hyperlink" Target="https://drive.google.com/file/d/1TK3zdE4lma3MwON68oudjxp39ddx-Gt5/view?usp=sharing" TargetMode="External"/><Relationship Id="rId107" Type="http://schemas.openxmlformats.org/officeDocument/2006/relationships/hyperlink" Target="https://drive.google.com/file/d/1Zy1HXqm6US0M2DP_GzrKtl8So-Mfq6ij/view?usp=sharing" TargetMode="External"/><Relationship Id="rId106" Type="http://schemas.openxmlformats.org/officeDocument/2006/relationships/hyperlink" Target="https://drive.google.com/file/d/1u566KKyl7XH9EL741ryaBE54n1KQAYxc/view?usp=sharing" TargetMode="External"/><Relationship Id="rId105" Type="http://schemas.openxmlformats.org/officeDocument/2006/relationships/hyperlink" Target="https://drive.google.com/file/d/1GrVGnnFTCW_CSI3OrB2BuU4kvmiQulzP/view?usp=sharing" TargetMode="External"/><Relationship Id="rId104" Type="http://schemas.openxmlformats.org/officeDocument/2006/relationships/hyperlink" Target="https://drive.google.com/file/d/1-OYWPVWQTtUE9d75dDHkqRER1Ya6BHZl/view?usp=sharing" TargetMode="External"/><Relationship Id="rId109" Type="http://schemas.openxmlformats.org/officeDocument/2006/relationships/hyperlink" Target="https://drive.google.com/file/d/1Us-rY2bjxxJNF5HTtVcK8GtrhW4LA48I/view?usp=sharing" TargetMode="External"/><Relationship Id="rId108" Type="http://schemas.openxmlformats.org/officeDocument/2006/relationships/hyperlink" Target="https://drive.google.com/file/d/10QPzG9tMumalQrBUNR0TPoXcn-5ypw2B/view?usp=sharing" TargetMode="External"/><Relationship Id="rId48" Type="http://schemas.openxmlformats.org/officeDocument/2006/relationships/hyperlink" Target="https://drive.google.com/file/d/11o2u7-ypV2AGvu5rSo_hh9XfhnJQAg3J/view?usp=drive_link" TargetMode="External"/><Relationship Id="rId47" Type="http://schemas.openxmlformats.org/officeDocument/2006/relationships/hyperlink" Target="https://drive.google.com/file/d/1wU7DcyNr6wHHDPD5GnpC0vFDjQaecfXE/view?usp=drive_link" TargetMode="External"/><Relationship Id="rId49" Type="http://schemas.openxmlformats.org/officeDocument/2006/relationships/hyperlink" Target="https://drive.google.com/file/d/1kpHhay-q6TDhRU0FMlWA_c1qbw-DTO96/view?usp=drive_link" TargetMode="External"/><Relationship Id="rId103" Type="http://schemas.openxmlformats.org/officeDocument/2006/relationships/hyperlink" Target="https://drive.google.com/file/d/13EsrGslAfd5n4yoqocznuun59Qzk2fSe/view?usp=sharing" TargetMode="External"/><Relationship Id="rId102" Type="http://schemas.openxmlformats.org/officeDocument/2006/relationships/hyperlink" Target="https://drive.google.com/file/d/1-vlcm8LxHKEPZnzFRH35UN0R-GT0BlCo/view?usp=sharing" TargetMode="External"/><Relationship Id="rId101" Type="http://schemas.openxmlformats.org/officeDocument/2006/relationships/hyperlink" Target="https://drive.google.com/file/d/1ynTS5YlrdoPyhTS7ae6A_WIBjuJDLXMU/view?usp=sharing" TargetMode="External"/><Relationship Id="rId100" Type="http://schemas.openxmlformats.org/officeDocument/2006/relationships/hyperlink" Target="https://drive.google.com/file/d/12rMmGAk0OKBb4XbkW_ciAD2ZhQT9bvGl/view?usp=sharing" TargetMode="External"/><Relationship Id="rId31" Type="http://schemas.openxmlformats.org/officeDocument/2006/relationships/hyperlink" Target="https://drive.google.com/file/d/1v7v7Tivd2X0eKpq9Sx4fa9qn2oj_AcS8/view?usp=sharing" TargetMode="External"/><Relationship Id="rId30" Type="http://schemas.openxmlformats.org/officeDocument/2006/relationships/hyperlink" Target="https://drive.google.com/file/d/1_Sf-FUT0pk_bVLxsBLWdXpve-cqXuWsh/view?usp=sharing" TargetMode="External"/><Relationship Id="rId33" Type="http://schemas.openxmlformats.org/officeDocument/2006/relationships/hyperlink" Target="https://drive.google.com/file/d/1wxRgfAaU46hIz5GK1ARQtZFPn3CuPFRY/view?usp=sharing" TargetMode="External"/><Relationship Id="rId32" Type="http://schemas.openxmlformats.org/officeDocument/2006/relationships/hyperlink" Target="https://drive.google.com/file/d/1uDwPKI5pQ1cHd5r6mFZI4GO6bZBLerOQ/view?usp=sharing" TargetMode="External"/><Relationship Id="rId35" Type="http://schemas.openxmlformats.org/officeDocument/2006/relationships/hyperlink" Target="https://drive.google.com/file/d/1COsBNCLpqovfnZxsKMLIfm3cM3WSPlWR/view?usp=sharing" TargetMode="External"/><Relationship Id="rId34" Type="http://schemas.openxmlformats.org/officeDocument/2006/relationships/hyperlink" Target="https://drive.google.com/file/d/1rsrUTnuM6NPGXGzK6rro-HoH2H28SBpA/view" TargetMode="External"/><Relationship Id="rId37" Type="http://schemas.openxmlformats.org/officeDocument/2006/relationships/hyperlink" Target="https://drive.google.com/file/d/1c7mTO9qcRxK7Tt3F8DJ2hnBNoCkC_YCb/view?usp=sharing" TargetMode="External"/><Relationship Id="rId36" Type="http://schemas.openxmlformats.org/officeDocument/2006/relationships/hyperlink" Target="https://drive.google.com/file/d/1RSU7TotfFlyoyNUee5--I7diULH6jKBc/view?usp=sharing" TargetMode="External"/><Relationship Id="rId39" Type="http://schemas.openxmlformats.org/officeDocument/2006/relationships/hyperlink" Target="https://drive.google.com/file/d/1cPOLeP4DAMrZffWR9kGDAcaqSw0v9h9n/view?usp=sharing" TargetMode="External"/><Relationship Id="rId38" Type="http://schemas.openxmlformats.org/officeDocument/2006/relationships/hyperlink" Target="https://drive.google.com/file/d/1oFCdomtp2GVuAa4RkhoPf0_GpPuJbQFp/view?usp=sharing" TargetMode="External"/><Relationship Id="rId20" Type="http://schemas.openxmlformats.org/officeDocument/2006/relationships/hyperlink" Target="https://drive.google.com/file/d/1_40Ck2QyO5Lh-NcifOlOrD-wbA16CLLi/view?usp=sharing" TargetMode="External"/><Relationship Id="rId22" Type="http://schemas.openxmlformats.org/officeDocument/2006/relationships/hyperlink" Target="https://drive.google.com/file/d/1xqTMCbW58AJ5ikz0bEpayzFJ3z7wb-LU/view?usp=sharing" TargetMode="External"/><Relationship Id="rId21" Type="http://schemas.openxmlformats.org/officeDocument/2006/relationships/hyperlink" Target="https://drive.google.com/file/d/19oq4CUasYBGyT2iQF7JyBkQrjzh7k7oE/view?usp=drive_link" TargetMode="External"/><Relationship Id="rId24" Type="http://schemas.openxmlformats.org/officeDocument/2006/relationships/hyperlink" Target="https://drive.google.com/file/d/1kzLCH6mR5KoTDzjpDTNNghIbfMS8ajIc/view?usp=sharing" TargetMode="External"/><Relationship Id="rId23" Type="http://schemas.openxmlformats.org/officeDocument/2006/relationships/hyperlink" Target="https://drive.google.com/file/d/1_thG-LLy0FXmJx5ZnDtdhpsXI2O1kib1/view?usp=drive_link" TargetMode="External"/><Relationship Id="rId26" Type="http://schemas.openxmlformats.org/officeDocument/2006/relationships/hyperlink" Target="https://drive.google.com/file/d/1U0gpUluwKkOdfldNL8iZFBVOuz7uQpSp/view?usp=sharing" TargetMode="External"/><Relationship Id="rId25" Type="http://schemas.openxmlformats.org/officeDocument/2006/relationships/hyperlink" Target="https://drive.google.com/file/d/186Hy0br3O17oAeDWRH4zztAp2VgveePH/view?usp=sharing" TargetMode="External"/><Relationship Id="rId28" Type="http://schemas.openxmlformats.org/officeDocument/2006/relationships/hyperlink" Target="https://drive.google.com/file/d/1VOA6kZPuyrVlPQ064mWyK6CaZmgJBZNB/view?usp=sharing" TargetMode="External"/><Relationship Id="rId27" Type="http://schemas.openxmlformats.org/officeDocument/2006/relationships/hyperlink" Target="https://drive.google.com/file/d/1UD-CL7U_X-2i1xgHRqJmaOlIIUO1QQJg/view?usp=sharing" TargetMode="External"/><Relationship Id="rId29" Type="http://schemas.openxmlformats.org/officeDocument/2006/relationships/hyperlink" Target="https://drive.google.com/file/d/1V1djo257jyiR58_QSY6RjGiFPpZ2j0n0/view?usp=sharing" TargetMode="External"/><Relationship Id="rId95" Type="http://schemas.openxmlformats.org/officeDocument/2006/relationships/hyperlink" Target="https://drive.google.com/file/d/16NHCkwrqJfUXchT3lDN7iVhbU1c2hUiv/view?usp=sharing" TargetMode="External"/><Relationship Id="rId94" Type="http://schemas.openxmlformats.org/officeDocument/2006/relationships/hyperlink" Target="https://drive.google.com/file/d/1ZfG4d2PztlarwyjIBsbZ-oB8O_J1o9iM/view?usp=sharing" TargetMode="External"/><Relationship Id="rId97" Type="http://schemas.openxmlformats.org/officeDocument/2006/relationships/hyperlink" Target="https://drive.google.com/file/d/14tiGnSsNZkdfaY-98F-XBoVTkJuH-ppk/view?usp=sharing" TargetMode="External"/><Relationship Id="rId96" Type="http://schemas.openxmlformats.org/officeDocument/2006/relationships/hyperlink" Target="https://drive.google.com/file/d/14q1xrT0wJXwYCMjRGi_rEX0SCZNByFAG/view?usp=sharing" TargetMode="External"/><Relationship Id="rId11" Type="http://schemas.openxmlformats.org/officeDocument/2006/relationships/hyperlink" Target="https://drive.google.com/file/d/19krH-QFl0VJ62k33oo36xwT4njdVEa2L/view?usp=drive_link" TargetMode="External"/><Relationship Id="rId99" Type="http://schemas.openxmlformats.org/officeDocument/2006/relationships/hyperlink" Target="https://drive.google.com/file/d/1kEWJPcem5BJwBky-oKvs3ppsc0PWCUSc/view?usp=sharing" TargetMode="External"/><Relationship Id="rId10" Type="http://schemas.openxmlformats.org/officeDocument/2006/relationships/hyperlink" Target="https://drive.google.com/file/d/14YcMOrQkDlQhyP_G0LWFS66FOPiMkX44/view?usp=drive_link" TargetMode="External"/><Relationship Id="rId98" Type="http://schemas.openxmlformats.org/officeDocument/2006/relationships/hyperlink" Target="https://drive.google.com/file/d/1l2r8Djep8gMO981qESH-1Q95cSma-tbf/view?usp=sharing" TargetMode="External"/><Relationship Id="rId13" Type="http://schemas.openxmlformats.org/officeDocument/2006/relationships/hyperlink" Target="https://drive.google.com/file/d/167BvlYmn27g2xXsO5dSCbzxhInqJMDk-/view?usp=drive_link" TargetMode="External"/><Relationship Id="rId12" Type="http://schemas.openxmlformats.org/officeDocument/2006/relationships/hyperlink" Target="https://drive.google.com/file/d/19oq4CUasYBGyT2iQF7JyBkQrjzh7k7oE/view?usp=drive_link" TargetMode="External"/><Relationship Id="rId91" Type="http://schemas.openxmlformats.org/officeDocument/2006/relationships/hyperlink" Target="https://drive.google.com/file/d/1N5DyBEYS54Pf7pGtchcNalFZ0Jq4yQwf/view?usp=sharing" TargetMode="External"/><Relationship Id="rId90" Type="http://schemas.openxmlformats.org/officeDocument/2006/relationships/hyperlink" Target="https://drive.google.com/file/d/1L1fNYDPZ68cCZb8JNh32hpzUkaipauGI/view?usp=sharing" TargetMode="External"/><Relationship Id="rId93" Type="http://schemas.openxmlformats.org/officeDocument/2006/relationships/hyperlink" Target="https://drive.google.com/file/d/19DKo2_klrVQuxSuCFuMJqAgB704gN2VF/view?usp=sharing" TargetMode="External"/><Relationship Id="rId92" Type="http://schemas.openxmlformats.org/officeDocument/2006/relationships/hyperlink" Target="https://drive.google.com/file/d/1-XdqdTiXyNzaxn4vP0LZ4oK7tM-x-wNM/view?usp=sharing" TargetMode="External"/><Relationship Id="rId15" Type="http://schemas.openxmlformats.org/officeDocument/2006/relationships/hyperlink" Target="https://drive.google.com/file/d/1kSSL_XoB3xRrVRuDbvrIvC0qQbrXFOuB/view?usp=drive_link" TargetMode="External"/><Relationship Id="rId110" Type="http://schemas.openxmlformats.org/officeDocument/2006/relationships/hyperlink" Target="https://drive.google.com/file/d/1x6QfMAV9c444sFTilwfhFcG7bFhO7v5I/view?usp=sharing" TargetMode="External"/><Relationship Id="rId14" Type="http://schemas.openxmlformats.org/officeDocument/2006/relationships/hyperlink" Target="https://drive.google.com/file/d/1HAn_tS1LCe7tmD9Pf7qi-1LScUq7RAeI/view?usp=drive_link" TargetMode="External"/><Relationship Id="rId17" Type="http://schemas.openxmlformats.org/officeDocument/2006/relationships/hyperlink" Target="https://drive.google.com/file/d/1RZGn8aLk3YsI-FuV2uM9XgT9WwVjxJRO/view?usp=drive_link" TargetMode="External"/><Relationship Id="rId16" Type="http://schemas.openxmlformats.org/officeDocument/2006/relationships/hyperlink" Target="https://drive.google.com/file/d/1nDVWqUSwNVJbABf1tK_WD1rUi7s3Lrsw/view?usp=drive_link" TargetMode="External"/><Relationship Id="rId19" Type="http://schemas.openxmlformats.org/officeDocument/2006/relationships/hyperlink" Target="https://drive.google.com/file/d/1hXObvLUyKiZpyCJsqMOg4a5lgpG-E-eZ/view?usp=drive_link" TargetMode="External"/><Relationship Id="rId114" Type="http://schemas.openxmlformats.org/officeDocument/2006/relationships/drawing" Target="../drawings/drawing3.xml"/><Relationship Id="rId18" Type="http://schemas.openxmlformats.org/officeDocument/2006/relationships/hyperlink" Target="https://drive.google.com/file/d/1LAoEsuggvr5ZtUF3rz3MC0ykdvX_kml8/view?usp=drive_link" TargetMode="External"/><Relationship Id="rId113" Type="http://schemas.openxmlformats.org/officeDocument/2006/relationships/hyperlink" Target="https://drive.google.com/file/d/1VJtOxe_s8MRjjkPy7IHqbAy10fdMn94e/view?usp=sharing" TargetMode="External"/><Relationship Id="rId112" Type="http://schemas.openxmlformats.org/officeDocument/2006/relationships/hyperlink" Target="https://drive.google.com/file/d/1uhynLeUSj-qyS1JtnnLfrxRGc1WitHSK/view?usp=sharing" TargetMode="External"/><Relationship Id="rId111" Type="http://schemas.openxmlformats.org/officeDocument/2006/relationships/hyperlink" Target="https://drive.google.com/file/d/1219bZ7BwMGLrZuusV-3UAvEUbFxkqT5j/view?usp=sharing" TargetMode="External"/><Relationship Id="rId84" Type="http://schemas.openxmlformats.org/officeDocument/2006/relationships/hyperlink" Target="https://drive.google.com/file/d/1pgcW84Z7SKCLAW8J93RG9VZSokf9oZU3/view?usp=sharing" TargetMode="External"/><Relationship Id="rId83" Type="http://schemas.openxmlformats.org/officeDocument/2006/relationships/hyperlink" Target="https://drive.google.com/file/d/1NwilvTVRP5WaLXf_nk1BdRR-gJSSXhKH/view?usp=sharing" TargetMode="External"/><Relationship Id="rId86" Type="http://schemas.openxmlformats.org/officeDocument/2006/relationships/hyperlink" Target="https://drive.google.com/file/d/1-EaowWcliMWtV0IZ4XQu4d5nJcKKZnYG/view?usp=sharing" TargetMode="External"/><Relationship Id="rId85" Type="http://schemas.openxmlformats.org/officeDocument/2006/relationships/hyperlink" Target="https://drive.google.com/file/d/1QkLcimqMs8qf-08ch0lIBKJga2U0IHmi/view?usp=sharing" TargetMode="External"/><Relationship Id="rId88" Type="http://schemas.openxmlformats.org/officeDocument/2006/relationships/hyperlink" Target="https://drive.google.com/file/d/1PO-9xXoKv_AalTOrX6bRGbWNcYyQEjSP/view?usp=sharing" TargetMode="External"/><Relationship Id="rId87" Type="http://schemas.openxmlformats.org/officeDocument/2006/relationships/hyperlink" Target="https://drive.google.com/file/d/116SatfCk3juDJiuaKU_mmAOLtMxvj80l/view?usp=sharing" TargetMode="External"/><Relationship Id="rId89" Type="http://schemas.openxmlformats.org/officeDocument/2006/relationships/hyperlink" Target="https://drive.google.com/file/d/1uAqC4GJLLCFWysUosdd8dO-7iLb2RkzU/view?usp=sharing" TargetMode="External"/><Relationship Id="rId80" Type="http://schemas.openxmlformats.org/officeDocument/2006/relationships/hyperlink" Target="https://drive.google.com/file/d/1EAXzSS5IgYqHses9QIermqf9-hDa9Omx/view?usp=sharing" TargetMode="External"/><Relationship Id="rId82" Type="http://schemas.openxmlformats.org/officeDocument/2006/relationships/hyperlink" Target="https://drive.google.com/file/d/1iLLv4g8GQRLkrKXhBYoGawt0n7WPNAEX/view?usp=sharing" TargetMode="External"/><Relationship Id="rId81" Type="http://schemas.openxmlformats.org/officeDocument/2006/relationships/hyperlink" Target="https://drive.google.com/file/d/15BBwWueGis_wNfay-sTE1wjzSMuYKH08/view?usp=sharing" TargetMode="External"/><Relationship Id="rId1" Type="http://schemas.openxmlformats.org/officeDocument/2006/relationships/hyperlink" Target="https://drive.google.com/file/d/1PVV-w06i4cVjtiqFtKl5jZaBE4Bozk7A/view?usp=drive_link" TargetMode="External"/><Relationship Id="rId2" Type="http://schemas.openxmlformats.org/officeDocument/2006/relationships/hyperlink" Target="https://drive.google.com/file/d/1Gijx1wwoN_1112sbYq7a9ixlcNxTihJw/view?usp=drive_link" TargetMode="External"/><Relationship Id="rId3" Type="http://schemas.openxmlformats.org/officeDocument/2006/relationships/hyperlink" Target="https://drive.google.com/file/d/1HEb3_7I9aZvCmLUD-AZP6dNw-hnvhBvA/view?usp=drive_link" TargetMode="External"/><Relationship Id="rId4" Type="http://schemas.openxmlformats.org/officeDocument/2006/relationships/hyperlink" Target="https://drive.google.com/file/d/1YDfiDUUtqqkPaLmRKX1TC0D4XvtBOpK0/view?usp=drive_link" TargetMode="External"/><Relationship Id="rId9" Type="http://schemas.openxmlformats.org/officeDocument/2006/relationships/hyperlink" Target="https://drive.google.com/file/d/1eFfNtpoCvha0z7aGzZKMW50pJr9qrpED/view?usp=drive_link" TargetMode="External"/><Relationship Id="rId5" Type="http://schemas.openxmlformats.org/officeDocument/2006/relationships/hyperlink" Target="https://drive.google.com/file/d/15cqLAw-QUCTrKpH2Bcd0vXw8Lq6WoE3R/view?usp=sharing" TargetMode="External"/><Relationship Id="rId6" Type="http://schemas.openxmlformats.org/officeDocument/2006/relationships/hyperlink" Target="https://drive.google.com/file/d/1N8N8BiYDDx2eUp4u0cJl_X4ClEOtuj_L/view?usp=drive_link" TargetMode="External"/><Relationship Id="rId7" Type="http://schemas.openxmlformats.org/officeDocument/2006/relationships/hyperlink" Target="https://drive.google.com/file/d/11AbGpqvgi0F4uRZwGAQXdzGqsh9ueX6T/view?usp=drive_link" TargetMode="External"/><Relationship Id="rId8" Type="http://schemas.openxmlformats.org/officeDocument/2006/relationships/hyperlink" Target="https://drive.google.com/file/d/1ojJCSyPHtw7rJCZf9h1IG0625qg5bxgv/view?usp=drive_link" TargetMode="External"/><Relationship Id="rId73" Type="http://schemas.openxmlformats.org/officeDocument/2006/relationships/hyperlink" Target="https://drive.google.com/file/d/1LgXygIrQ52zKT___NNixpuVvJRu3cBhW/view?usp=sharing" TargetMode="External"/><Relationship Id="rId72" Type="http://schemas.openxmlformats.org/officeDocument/2006/relationships/hyperlink" Target="https://drive.google.com/file/d/1trgI5CSnLbeeOXL-8ooNWO7Qggap2BA7/view?usp=sharing" TargetMode="External"/><Relationship Id="rId75" Type="http://schemas.openxmlformats.org/officeDocument/2006/relationships/hyperlink" Target="https://drive.google.com/file/d/1uZYzTL21gKx5u3bJ1EpVHKuO8O91Mfne/view?usp=sharing" TargetMode="External"/><Relationship Id="rId74" Type="http://schemas.openxmlformats.org/officeDocument/2006/relationships/hyperlink" Target="https://drive.google.com/file/d/19PbmEoirLp9sf7CBDvt5RxFoW3EdV9Ia/view?usp=sharing" TargetMode="External"/><Relationship Id="rId77" Type="http://schemas.openxmlformats.org/officeDocument/2006/relationships/hyperlink" Target="https://drive.google.com/file/d/1imrYvfSANSjC0CbzWZp_9QHUWnamRHKU/view?usp=sharing" TargetMode="External"/><Relationship Id="rId76" Type="http://schemas.openxmlformats.org/officeDocument/2006/relationships/hyperlink" Target="https://drive.google.com/file/d/1oD853tlWGhgD7eaeib-k2zU3qFhNEKhT/view?usp=sharing" TargetMode="External"/><Relationship Id="rId79" Type="http://schemas.openxmlformats.org/officeDocument/2006/relationships/hyperlink" Target="https://drive.google.com/file/d/1qtYwq_v6hvc5yKt1Gzk8Rnx72042uh40/view?usp=sharing" TargetMode="External"/><Relationship Id="rId78" Type="http://schemas.openxmlformats.org/officeDocument/2006/relationships/hyperlink" Target="https://drive.google.com/file/d/1llGpO5_lU_87cAZIYCKfh2k5xBFROl8q/view?usp=sharing" TargetMode="External"/><Relationship Id="rId71" Type="http://schemas.openxmlformats.org/officeDocument/2006/relationships/hyperlink" Target="https://drive.google.com/file/d/1TYtTiDnsCA-MFq-vsz0d9wB8nomYRXQg/view?usp=sharing" TargetMode="External"/><Relationship Id="rId70" Type="http://schemas.openxmlformats.org/officeDocument/2006/relationships/hyperlink" Target="https://drive.google.com/file/d/12I8kpiP0GBY9CT7tttU_gVRtYTXINPSy/view?usp=sharing" TargetMode="External"/><Relationship Id="rId62" Type="http://schemas.openxmlformats.org/officeDocument/2006/relationships/hyperlink" Target="https://drive.google.com/file/d/1fjwtVsxtVbfyjZecKoSVMkfjxbQ-aJXt/view?usp=drive_link" TargetMode="External"/><Relationship Id="rId61" Type="http://schemas.openxmlformats.org/officeDocument/2006/relationships/hyperlink" Target="https://drive.google.com/file/d/1KA-CRfXxBfRujsxPVsrwRP9Ol5J_VsR6/view?usp=sharing" TargetMode="External"/><Relationship Id="rId64" Type="http://schemas.openxmlformats.org/officeDocument/2006/relationships/hyperlink" Target="https://drive.google.com/file/d/1ExeGAb-XJ9KQhZDCPac4734m9k8amXQV/view?usp=sharing" TargetMode="External"/><Relationship Id="rId63" Type="http://schemas.openxmlformats.org/officeDocument/2006/relationships/hyperlink" Target="https://drive.google.com/file/d/18Bt1-XSpseEwv5SzGQFmysK-Q4Op6wWQ/view?usp=sharing" TargetMode="External"/><Relationship Id="rId66" Type="http://schemas.openxmlformats.org/officeDocument/2006/relationships/hyperlink" Target="https://drive.google.com/file/d/1RWsYm3f78mRhfx-hGaCMYppPHo-8nJYd/view?usp=sharing" TargetMode="External"/><Relationship Id="rId65" Type="http://schemas.openxmlformats.org/officeDocument/2006/relationships/hyperlink" Target="https://drive.google.com/file/d/1yp3yOz7G-j8XWmi7IsazYIUs9dLN4WKJ/view?usp=sharing" TargetMode="External"/><Relationship Id="rId68" Type="http://schemas.openxmlformats.org/officeDocument/2006/relationships/hyperlink" Target="https://drive.google.com/file/d/1eq210MUJVFhhM23Z-S0H1oTZ4KAw1Lcx/view?usp=sharing" TargetMode="External"/><Relationship Id="rId67" Type="http://schemas.openxmlformats.org/officeDocument/2006/relationships/hyperlink" Target="https://drive.google.com/file/d/1Ip7fQpOyjTjeogxEcmYQJJ5-hgZYkCEX/view?usp=sharing" TargetMode="External"/><Relationship Id="rId60" Type="http://schemas.openxmlformats.org/officeDocument/2006/relationships/hyperlink" Target="https://drive.google.com/file/d/181vHPuf2kxpYOeVpLxHDZzR_9ZH8mPwD/view?usp=sharing" TargetMode="External"/><Relationship Id="rId69" Type="http://schemas.openxmlformats.org/officeDocument/2006/relationships/hyperlink" Target="https://drive.google.com/file/d/1c4iSMQd3cuRoPB7VecScYP5RH1LO_ecT/view?usp=sharing" TargetMode="External"/><Relationship Id="rId51" Type="http://schemas.openxmlformats.org/officeDocument/2006/relationships/hyperlink" Target="https://drive.google.com/file/d/1_I98GluoEf1bKVNGKwSjWGgwTF95IrPo/view?usp=drive_link" TargetMode="External"/><Relationship Id="rId50" Type="http://schemas.openxmlformats.org/officeDocument/2006/relationships/hyperlink" Target="https://drive.google.com/file/d/1ZhtPNKVfjrY634Gq3hhJnrKX5SERbyAs/view?usp=drive_link" TargetMode="External"/><Relationship Id="rId53" Type="http://schemas.openxmlformats.org/officeDocument/2006/relationships/hyperlink" Target="https://drive.google.com/file/d/1grVnOFs12U1ezek1JLRyA7E7u6A_X8MU/view?usp=drive_link" TargetMode="External"/><Relationship Id="rId52" Type="http://schemas.openxmlformats.org/officeDocument/2006/relationships/hyperlink" Target="https://drive.google.com/file/d/11z7DGgehErcK935b0qHORLjZxCT1T6Vx/view?usp=drive_link" TargetMode="External"/><Relationship Id="rId55" Type="http://schemas.openxmlformats.org/officeDocument/2006/relationships/hyperlink" Target="https://drive.google.com/file/d/1zJmj7t5JGtLuysD1rXglx245uJDnmJsL/view?usp=sharing" TargetMode="External"/><Relationship Id="rId54" Type="http://schemas.openxmlformats.org/officeDocument/2006/relationships/hyperlink" Target="https://drive.google.com/file/d/1v110TI7b3JzrbtYFLt8F__MUscVf6DlN/view?usp=drive_link" TargetMode="External"/><Relationship Id="rId57" Type="http://schemas.openxmlformats.org/officeDocument/2006/relationships/hyperlink" Target="https://drive.google.com/file/d/1It1NHAsOAn49elMo_sanGlYdNbVUF7A6/view?usp=sharing" TargetMode="External"/><Relationship Id="rId56" Type="http://schemas.openxmlformats.org/officeDocument/2006/relationships/hyperlink" Target="https://drive.google.com/file/d/1jwdPgvKvYYIHo5WbfUuw-FYpXx_-8G-Q/view?usp=drive_link" TargetMode="External"/><Relationship Id="rId59" Type="http://schemas.openxmlformats.org/officeDocument/2006/relationships/hyperlink" Target="https://drive.google.com/file/d/1YrwSKDWcEGZ37LSOZyFEVEjGoWj53Rmv/view?usp=sharing" TargetMode="External"/><Relationship Id="rId58" Type="http://schemas.openxmlformats.org/officeDocument/2006/relationships/hyperlink" Target="https://drive.google.com/file/d/1It1NHAsOAn49elMo_sanGlYdNbVUF7A6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C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0.0"/>
    <col customWidth="1" min="4" max="4" width="22.0"/>
    <col customWidth="1" min="5" max="7" width="20.0"/>
    <col customWidth="1" min="8" max="8" width="3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4"/>
    </row>
    <row r="2" ht="18.0" customHeight="1">
      <c r="A2" s="6" t="s">
        <v>3</v>
      </c>
      <c r="B2" s="2"/>
      <c r="C2" s="2"/>
      <c r="D2" s="2"/>
      <c r="E2" s="2"/>
      <c r="F2" s="2"/>
      <c r="G2" s="2"/>
      <c r="H2" s="4"/>
    </row>
    <row r="3" ht="9.75" customHeight="1">
      <c r="A3" s="9"/>
      <c r="B3" s="9"/>
      <c r="C3" s="9"/>
      <c r="D3" s="9"/>
      <c r="E3" s="9"/>
      <c r="F3" s="9"/>
      <c r="G3" s="9"/>
      <c r="H3" s="9"/>
    </row>
    <row r="4" ht="19.5" customHeight="1">
      <c r="A4" s="13" t="s">
        <v>16</v>
      </c>
      <c r="B4" s="2"/>
      <c r="C4" s="2"/>
      <c r="D4" s="2"/>
      <c r="E4" s="2"/>
      <c r="F4" s="2"/>
      <c r="G4" s="2"/>
      <c r="H4" s="4"/>
    </row>
    <row r="5" ht="21.75" customHeight="1">
      <c r="A5" s="9"/>
      <c r="B5" s="16" t="s">
        <v>24</v>
      </c>
      <c r="C5" s="19" t="s">
        <v>27</v>
      </c>
      <c r="D5" s="22" t="s">
        <v>32</v>
      </c>
      <c r="E5" s="25" t="s">
        <v>33</v>
      </c>
      <c r="F5" s="25" t="s">
        <v>34</v>
      </c>
      <c r="G5" s="9"/>
      <c r="H5" s="9"/>
    </row>
    <row r="6" ht="33.75" customHeight="1">
      <c r="A6" s="9"/>
      <c r="B6" s="32">
        <f>IFERROR(SUMIFS(Entradas!G:G,Entradas!A:A,"&gt;0"),0)</f>
        <v>233509.26</v>
      </c>
      <c r="C6" s="34">
        <f>IFERROR(SUMIFS(Saidas!F:F,Saidas!A:A,"&gt;0"),0)</f>
        <v>185491.24</v>
      </c>
      <c r="D6" s="42">
        <f>IFERROR('Custos Fixos'!B19*2,0)</f>
        <v>0</v>
      </c>
      <c r="E6" s="50">
        <f>IFERROR(B6-C6-D6,0)</f>
        <v>48018.02</v>
      </c>
      <c r="F6" s="54">
        <f>IFERROR(E6/B6,0)</f>
        <v>0.2056364703</v>
      </c>
      <c r="G6" s="9"/>
      <c r="H6" s="9"/>
    </row>
    <row r="7" ht="9.75" customHeight="1">
      <c r="A7" s="9"/>
      <c r="B7" s="9"/>
      <c r="C7" s="9"/>
      <c r="D7" s="9"/>
      <c r="E7" s="9"/>
      <c r="F7" s="9"/>
      <c r="G7" s="9"/>
      <c r="H7" s="9"/>
    </row>
    <row r="8" ht="19.5" customHeight="1">
      <c r="A8" s="13" t="s">
        <v>73</v>
      </c>
      <c r="B8" s="2"/>
      <c r="C8" s="2"/>
      <c r="D8" s="2"/>
      <c r="E8" s="2"/>
      <c r="F8" s="2"/>
      <c r="G8" s="2"/>
      <c r="H8" s="4"/>
    </row>
    <row r="9" ht="24.0" customHeight="1">
      <c r="A9" s="9"/>
      <c r="B9" s="59" t="s">
        <v>76</v>
      </c>
      <c r="C9" s="59" t="s">
        <v>77</v>
      </c>
      <c r="D9" s="59" t="s">
        <v>78</v>
      </c>
      <c r="E9" s="59" t="s">
        <v>79</v>
      </c>
      <c r="F9" s="59" t="s">
        <v>80</v>
      </c>
      <c r="G9" s="59" t="s">
        <v>81</v>
      </c>
      <c r="H9" s="9"/>
    </row>
    <row r="10" ht="19.5" customHeight="1">
      <c r="A10" s="9"/>
      <c r="B10" s="61" t="s">
        <v>83</v>
      </c>
      <c r="C10" s="67">
        <f>IFERROR(SUMIFS(Entradas!G:G,Entradas!A:A,"&gt;="&amp;DATE(2026,4,1),Entradas!A:A,"&lt;="&amp;EOMONTH(DATE(2026,4,1),0)),0)</f>
        <v>15546.57</v>
      </c>
      <c r="D10" s="70">
        <f>IFERROR(SUMIFS(Saidas!F:F,Saidas!A:A,"&gt;="&amp;DATE(2026,4,1),Saidas!A:A,"&lt;="&amp;EOMONTH(DATE(2026,4,1),0)),0)</f>
        <v>4722.73</v>
      </c>
      <c r="E10" s="71" t="str">
        <f>IFERROR('Custos Fixos'!B19,0)</f>
        <v/>
      </c>
      <c r="F10" s="72">
        <f t="shared" ref="F10:F18" si="1">IFERROR(C10-D10-E10,0)</f>
        <v>10823.84</v>
      </c>
      <c r="G10" s="74">
        <f t="shared" ref="G10:G18" si="2">IFERROR(F10/C10,0)</f>
        <v>0.6962204525</v>
      </c>
      <c r="H10" s="9"/>
    </row>
    <row r="11" ht="19.5" customHeight="1">
      <c r="A11" s="9"/>
      <c r="B11" s="75" t="s">
        <v>97</v>
      </c>
      <c r="C11" s="76">
        <f>IFERROR(SUMIFS(Entradas!G:G,Entradas!A:A,"&gt;="&amp;DATE(2026,5,1),Entradas!A:A,"&lt;="&amp;EOMONTH(DATE(2026,5,1),0)),0)</f>
        <v>67162.93</v>
      </c>
      <c r="D11" s="77">
        <f>IFERROR(SUMIFS(Saidas!F:F,Saidas!A:A,"&gt;="&amp;DATE(2026,5,1),Saidas!A:A,"&lt;="&amp;EOMONTH(DATE(2026,5,1),0)),0)</f>
        <v>46570</v>
      </c>
      <c r="E11" s="78" t="str">
        <f>IFERROR('Custos Fixos'!B19,0)</f>
        <v/>
      </c>
      <c r="F11" s="79">
        <f t="shared" si="1"/>
        <v>20592.93</v>
      </c>
      <c r="G11" s="80">
        <f t="shared" si="2"/>
        <v>0.306611549</v>
      </c>
      <c r="H11" s="9"/>
    </row>
    <row r="12" ht="19.5" customHeight="1">
      <c r="A12" s="9"/>
      <c r="B12" s="61" t="s">
        <v>111</v>
      </c>
      <c r="C12" s="67">
        <f>IFERROR(SUMIFS(Entradas!G:G,Entradas!A:A,"&gt;="&amp;DATE(2026,6,1),Entradas!A:A,"&lt;="&amp;EOMONTH(DATE(2026,6,1),0)),0)</f>
        <v>55790.8</v>
      </c>
      <c r="D12" s="70">
        <f>IFERROR(SUMIFS(Saidas!F:F,Saidas!A:A,"&gt;="&amp;DATE(2026,6,1),Saidas!A:A,"&lt;="&amp;EOMONTH(DATE(2026,6,1),0)),0)</f>
        <v>56761.47</v>
      </c>
      <c r="E12" s="71" t="str">
        <f>IFERROR('Custos Fixos'!B19,0)</f>
        <v/>
      </c>
      <c r="F12" s="72">
        <f t="shared" si="1"/>
        <v>-970.67</v>
      </c>
      <c r="G12" s="74">
        <f t="shared" si="2"/>
        <v>-0.01739838826</v>
      </c>
      <c r="H12" s="9"/>
    </row>
    <row r="13" ht="19.5" customHeight="1">
      <c r="A13" s="9"/>
      <c r="B13" s="75" t="s">
        <v>123</v>
      </c>
      <c r="C13" s="76">
        <f>IFERROR(SUMIFS(Entradas!G:G,Entradas!A:A,"&gt;="&amp;DATE(2026,7,1),Entradas!A:A,"&lt;="&amp;EOMONTH(DATE(2026,7,1),0)),0)</f>
        <v>95008.96</v>
      </c>
      <c r="D13" s="77">
        <f>IFERROR(SUMIFS(Saidas!F:F,Saidas!A:A,"&gt;="&amp;DATE(2026,7,1),Saidas!A:A,"&lt;="&amp;EOMONTH(DATE(2026,7,1),0)),0)</f>
        <v>77437.04</v>
      </c>
      <c r="E13" s="78" t="str">
        <f>IFERROR('Custos Fixos'!B19,0)</f>
        <v/>
      </c>
      <c r="F13" s="79">
        <f t="shared" si="1"/>
        <v>17571.92</v>
      </c>
      <c r="G13" s="80">
        <f t="shared" si="2"/>
        <v>0.1849501352</v>
      </c>
      <c r="H13" s="9"/>
    </row>
    <row r="14" ht="19.5" customHeight="1">
      <c r="A14" s="9"/>
      <c r="B14" s="61" t="s">
        <v>131</v>
      </c>
      <c r="C14" s="67">
        <f>IFERROR(SUMIFS(Entradas!G:G,Entradas!A:A,"&gt;="&amp;DATE(2026,8,1),Entradas!A:A,"&lt;="&amp;EOMONTH(DATE(2026,8,1),0)),0)</f>
        <v>0</v>
      </c>
      <c r="D14" s="70">
        <f>IFERROR(SUMIFS(Saidas!F:F,Saidas!A:A,"&gt;="&amp;DATE(2026,8,1),Saidas!A:A,"&lt;="&amp;EOMONTH(DATE(2026,8,1),0)),0)</f>
        <v>0</v>
      </c>
      <c r="E14" s="71" t="str">
        <f>IFERROR('Custos Fixos'!B19,0)</f>
        <v/>
      </c>
      <c r="F14" s="72">
        <f t="shared" si="1"/>
        <v>0</v>
      </c>
      <c r="G14" s="74">
        <f t="shared" si="2"/>
        <v>0</v>
      </c>
      <c r="H14" s="9"/>
    </row>
    <row r="15" ht="19.5" customHeight="1">
      <c r="A15" s="9"/>
      <c r="B15" s="75" t="s">
        <v>140</v>
      </c>
      <c r="C15" s="76">
        <f>IFERROR(SUMIFS(Entradas!G:G,Entradas!A:A,"&gt;="&amp;DATE(2026,9,1),Entradas!A:A,"&lt;="&amp;EOMONTH(DATE(2026,9,1),0)),0)</f>
        <v>0</v>
      </c>
      <c r="D15" s="77">
        <f>IFERROR(SUMIFS(Saidas!F:F,Saidas!A:A,"&gt;="&amp;DATE(2026,9,1),Saidas!A:A,"&lt;="&amp;EOMONTH(DATE(2026,9,1),0)),0)</f>
        <v>0</v>
      </c>
      <c r="E15" s="78" t="str">
        <f>IFERROR('Custos Fixos'!B19,0)</f>
        <v/>
      </c>
      <c r="F15" s="79">
        <f t="shared" si="1"/>
        <v>0</v>
      </c>
      <c r="G15" s="80">
        <f t="shared" si="2"/>
        <v>0</v>
      </c>
      <c r="H15" s="9"/>
    </row>
    <row r="16" ht="19.5" customHeight="1">
      <c r="A16" s="9"/>
      <c r="B16" s="61" t="s">
        <v>149</v>
      </c>
      <c r="C16" s="67">
        <f>IFERROR(SUMIFS(Entradas!G:G,Entradas!A:A,"&gt;="&amp;DATE(2026,10,1),Entradas!A:A,"&lt;="&amp;EOMONTH(DATE(2026,10,1),0)),0)</f>
        <v>0</v>
      </c>
      <c r="D16" s="70">
        <f>IFERROR(SUMIFS(Saidas!F:F,Saidas!A:A,"&gt;="&amp;DATE(2026,10,1),Saidas!A:A,"&lt;="&amp;EOMONTH(DATE(2026,10,1),0)),0)</f>
        <v>0</v>
      </c>
      <c r="E16" s="71" t="str">
        <f>IFERROR('Custos Fixos'!B19,0)</f>
        <v/>
      </c>
      <c r="F16" s="72">
        <f t="shared" si="1"/>
        <v>0</v>
      </c>
      <c r="G16" s="74">
        <f t="shared" si="2"/>
        <v>0</v>
      </c>
      <c r="H16" s="9"/>
    </row>
    <row r="17" ht="19.5" customHeight="1">
      <c r="A17" s="9"/>
      <c r="B17" s="75" t="s">
        <v>153</v>
      </c>
      <c r="C17" s="76">
        <f>IFERROR(SUMIFS(Entradas!G:G,Entradas!A:A,"&gt;="&amp;DATE(2026,11,1),Entradas!A:A,"&lt;="&amp;EOMONTH(DATE(2026,11,1),0)),0)</f>
        <v>0</v>
      </c>
      <c r="D17" s="77">
        <f>IFERROR(SUMIFS(Saidas!F:F,Saidas!A:A,"&gt;="&amp;DATE(2026,11,1),Saidas!A:A,"&lt;="&amp;EOMONTH(DATE(2026,11,1),0)),0)</f>
        <v>0</v>
      </c>
      <c r="E17" s="78" t="str">
        <f>IFERROR('Custos Fixos'!B19,0)</f>
        <v/>
      </c>
      <c r="F17" s="79">
        <f t="shared" si="1"/>
        <v>0</v>
      </c>
      <c r="G17" s="80">
        <f t="shared" si="2"/>
        <v>0</v>
      </c>
      <c r="H17" s="9"/>
    </row>
    <row r="18" ht="19.5" customHeight="1">
      <c r="A18" s="9"/>
      <c r="B18" s="61" t="s">
        <v>158</v>
      </c>
      <c r="C18" s="67">
        <f>IFERROR(SUMIFS(Entradas!G:G,Entradas!A:A,"&gt;="&amp;DATE(2026,12,1),Entradas!A:A,"&lt;="&amp;EOMONTH(DATE(2026,12,1),0)),0)</f>
        <v>0</v>
      </c>
      <c r="D18" s="70">
        <f>IFERROR(SUMIFS(Saidas!F:F,Saidas!A:A,"&gt;="&amp;DATE(2026,12,1),Saidas!A:A,"&lt;="&amp;EOMONTH(DATE(2026,12,1),0)),0)</f>
        <v>0</v>
      </c>
      <c r="E18" s="71" t="str">
        <f>IFERROR('Custos Fixos'!B19,0)</f>
        <v/>
      </c>
      <c r="F18" s="72">
        <f t="shared" si="1"/>
        <v>0</v>
      </c>
      <c r="G18" s="74">
        <f t="shared" si="2"/>
        <v>0</v>
      </c>
      <c r="H18" s="9"/>
    </row>
    <row r="19" ht="24.0" customHeight="1">
      <c r="A19" s="9"/>
      <c r="B19" s="59" t="s">
        <v>148</v>
      </c>
      <c r="C19" s="98">
        <f t="shared" ref="C19:G19" si="3">SUM(C10:C18)</f>
        <v>233509.26</v>
      </c>
      <c r="D19" s="98">
        <f t="shared" si="3"/>
        <v>185491.24</v>
      </c>
      <c r="E19" s="98">
        <f t="shared" si="3"/>
        <v>0</v>
      </c>
      <c r="F19" s="99">
        <f t="shared" si="3"/>
        <v>48018.02</v>
      </c>
      <c r="G19" s="98">
        <f t="shared" si="3"/>
        <v>1.170383748</v>
      </c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 ht="15.0" customHeight="1">
      <c r="A21" s="100" t="s">
        <v>166</v>
      </c>
    </row>
    <row r="22" ht="12.0" customHeight="1">
      <c r="A22" s="9"/>
      <c r="B22" s="9"/>
      <c r="C22" s="9"/>
      <c r="D22" s="9"/>
      <c r="E22" s="9"/>
      <c r="F22" s="9"/>
      <c r="G22" s="9"/>
      <c r="H22" s="9"/>
    </row>
    <row r="23" ht="19.5" customHeight="1">
      <c r="A23" s="101" t="s">
        <v>167</v>
      </c>
      <c r="B23" s="2"/>
      <c r="C23" s="2"/>
      <c r="D23" s="2"/>
      <c r="E23" s="2"/>
      <c r="F23" s="2"/>
      <c r="G23" s="2"/>
      <c r="H23" s="4"/>
    </row>
    <row r="24" ht="21.75" customHeight="1">
      <c r="A24" s="9"/>
      <c r="B24" s="25" t="s">
        <v>170</v>
      </c>
      <c r="C24" s="19" t="s">
        <v>172</v>
      </c>
      <c r="D24" s="102" t="s">
        <v>173</v>
      </c>
      <c r="E24" s="9"/>
      <c r="F24" s="9"/>
      <c r="G24" s="9"/>
      <c r="H24" s="9"/>
    </row>
    <row r="25" ht="33.75" customHeight="1">
      <c r="A25" s="9"/>
      <c r="B25" s="103">
        <f>IFERROR(SUMIF('Contas a Receber'!F:F,"Pendente",'Contas a Receber'!C:C),0)</f>
        <v>45653.12</v>
      </c>
      <c r="C25" s="34">
        <f>IFERROR(SUMIF('Contas a Pagar'!G5:G110,"Pendente",'Contas a Pagar'!D5:D110)+SUMIF('Contas a Pagar'!G5:G110,"Atrasado",'Contas a Pagar'!D5:D110),0)</f>
        <v>35667.53</v>
      </c>
      <c r="D25" s="104">
        <f>IFERROR(B25-C25,0)</f>
        <v>9985.59</v>
      </c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0" customHeight="1">
      <c r="A27" s="100" t="s">
        <v>177</v>
      </c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>
      <c r="A30" s="9"/>
      <c r="B30" s="9"/>
      <c r="C30" s="9"/>
      <c r="D30" s="9"/>
      <c r="E30" s="9"/>
      <c r="F30" s="9"/>
      <c r="G30" s="9"/>
      <c r="H30" s="9"/>
    </row>
    <row r="31" ht="15.75" customHeight="1">
      <c r="A31" s="9"/>
      <c r="B31" s="9"/>
      <c r="C31" s="9"/>
      <c r="D31" s="9"/>
      <c r="E31" s="9"/>
      <c r="F31" s="9"/>
      <c r="G31" s="9"/>
      <c r="H31" s="9"/>
    </row>
    <row r="32" ht="15.75" customHeight="1">
      <c r="A32" s="9"/>
      <c r="B32" s="9"/>
      <c r="C32" s="9"/>
      <c r="D32" s="9"/>
      <c r="E32" s="9"/>
      <c r="F32" s="9"/>
      <c r="G32" s="9"/>
      <c r="H32" s="9"/>
    </row>
    <row r="33" ht="15.75" customHeight="1">
      <c r="A33" s="9"/>
      <c r="B33" s="9"/>
      <c r="C33" s="9"/>
      <c r="D33" s="9"/>
      <c r="E33" s="9"/>
      <c r="F33" s="9"/>
      <c r="G33" s="9"/>
      <c r="H33" s="9"/>
    </row>
    <row r="34" ht="15.75" customHeight="1">
      <c r="A34" s="9"/>
      <c r="B34" s="9"/>
      <c r="C34" s="9"/>
      <c r="D34" s="9"/>
      <c r="E34" s="9"/>
      <c r="F34" s="9"/>
      <c r="G34" s="9"/>
      <c r="H34" s="9"/>
    </row>
    <row r="35" ht="15.75" customHeight="1">
      <c r="A35" s="9"/>
      <c r="B35" s="9"/>
      <c r="C35" s="9"/>
      <c r="D35" s="9"/>
      <c r="E35" s="9"/>
      <c r="F35" s="9"/>
      <c r="G35" s="9"/>
      <c r="H35" s="9"/>
    </row>
    <row r="36" ht="15.75" customHeight="1">
      <c r="A36" s="9"/>
      <c r="B36" s="9"/>
      <c r="C36" s="9"/>
      <c r="D36" s="9"/>
      <c r="E36" s="9"/>
      <c r="F36" s="9"/>
      <c r="G36" s="9"/>
      <c r="H36" s="9"/>
    </row>
    <row r="37" ht="15.75" customHeight="1">
      <c r="A37" s="9"/>
      <c r="B37" s="9"/>
      <c r="C37" s="9"/>
      <c r="D37" s="9"/>
      <c r="E37" s="9"/>
      <c r="F37" s="9"/>
      <c r="G37" s="9"/>
      <c r="H37" s="9"/>
    </row>
    <row r="38" ht="15.75" customHeight="1">
      <c r="A38" s="9"/>
      <c r="B38" s="9"/>
      <c r="C38" s="9"/>
      <c r="D38" s="9"/>
      <c r="E38" s="9"/>
      <c r="F38" s="9"/>
      <c r="G38" s="9"/>
      <c r="H38" s="9"/>
    </row>
    <row r="39" ht="15.75" customHeight="1">
      <c r="A39" s="9"/>
      <c r="B39" s="9"/>
      <c r="C39" s="9"/>
      <c r="D39" s="9"/>
      <c r="E39" s="9"/>
      <c r="F39" s="9"/>
      <c r="G39" s="9"/>
      <c r="H39" s="9"/>
    </row>
    <row r="40" ht="15.75" customHeight="1">
      <c r="A40" s="9"/>
      <c r="B40" s="9"/>
      <c r="C40" s="9"/>
      <c r="D40" s="9"/>
      <c r="E40" s="9"/>
      <c r="F40" s="9"/>
      <c r="G40" s="9"/>
      <c r="H40" s="9"/>
    </row>
    <row r="41" ht="15.75" customHeight="1">
      <c r="A41" s="9"/>
      <c r="B41" s="9"/>
      <c r="C41" s="9"/>
      <c r="D41" s="9"/>
      <c r="E41" s="9"/>
      <c r="F41" s="9"/>
      <c r="G41" s="9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9"/>
      <c r="B46" s="9"/>
      <c r="C46" s="9"/>
      <c r="D46" s="9"/>
      <c r="E46" s="9"/>
      <c r="F46" s="9"/>
      <c r="G46" s="9"/>
      <c r="H46" s="9"/>
    </row>
    <row r="47" ht="15.75" customHeight="1">
      <c r="A47" s="9"/>
      <c r="B47" s="9"/>
      <c r="C47" s="9"/>
      <c r="D47" s="9"/>
      <c r="E47" s="9"/>
      <c r="F47" s="9"/>
      <c r="G47" s="9"/>
      <c r="H47" s="9"/>
    </row>
    <row r="48" ht="15.75" customHeight="1">
      <c r="A48" s="9"/>
      <c r="B48" s="9"/>
      <c r="C48" s="9"/>
      <c r="D48" s="9"/>
      <c r="E48" s="9"/>
      <c r="F48" s="9"/>
      <c r="G48" s="9"/>
      <c r="H48" s="9"/>
    </row>
    <row r="49" ht="15.75" customHeight="1">
      <c r="A49" s="9"/>
      <c r="B49" s="9"/>
      <c r="C49" s="9"/>
      <c r="D49" s="9"/>
      <c r="E49" s="9"/>
      <c r="F49" s="9"/>
      <c r="G49" s="9"/>
      <c r="H49" s="9"/>
    </row>
    <row r="50" ht="15.75" customHeight="1">
      <c r="A50" s="9"/>
      <c r="B50" s="9"/>
      <c r="C50" s="9"/>
      <c r="D50" s="9"/>
      <c r="E50" s="9"/>
      <c r="F50" s="9"/>
      <c r="G50" s="9"/>
      <c r="H50" s="9"/>
    </row>
    <row r="51" ht="15.75" customHeight="1">
      <c r="A51" s="9"/>
      <c r="B51" s="9"/>
      <c r="C51" s="9"/>
      <c r="D51" s="9"/>
      <c r="E51" s="9"/>
      <c r="F51" s="9"/>
      <c r="G51" s="9"/>
      <c r="H51" s="9"/>
    </row>
    <row r="52" ht="15.75" customHeight="1">
      <c r="A52" s="9"/>
      <c r="B52" s="9"/>
      <c r="C52" s="9"/>
      <c r="D52" s="9"/>
      <c r="E52" s="9"/>
      <c r="F52" s="9"/>
      <c r="G52" s="9"/>
      <c r="H52" s="9"/>
    </row>
    <row r="53" ht="15.75" customHeight="1">
      <c r="A53" s="9"/>
      <c r="B53" s="9"/>
      <c r="C53" s="9"/>
      <c r="D53" s="9"/>
      <c r="E53" s="9"/>
      <c r="F53" s="9"/>
      <c r="G53" s="9"/>
      <c r="H53" s="9"/>
    </row>
    <row r="54" ht="15.75" customHeight="1">
      <c r="A54" s="9"/>
      <c r="B54" s="9"/>
      <c r="C54" s="9"/>
      <c r="D54" s="9"/>
      <c r="E54" s="9"/>
      <c r="F54" s="9"/>
      <c r="G54" s="9"/>
      <c r="H54" s="9"/>
    </row>
    <row r="55" ht="15.75" customHeight="1">
      <c r="A55" s="9"/>
      <c r="B55" s="9"/>
      <c r="C55" s="9"/>
      <c r="D55" s="9"/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9"/>
      <c r="E57" s="9"/>
      <c r="F57" s="9"/>
      <c r="G57" s="9"/>
      <c r="H57" s="9"/>
    </row>
    <row r="58" ht="15.75" customHeight="1">
      <c r="A58" s="9"/>
      <c r="B58" s="9"/>
      <c r="C58" s="9"/>
      <c r="D58" s="9"/>
      <c r="E58" s="9"/>
      <c r="F58" s="9"/>
      <c r="G58" s="9"/>
      <c r="H58" s="9"/>
    </row>
    <row r="59" ht="15.75" customHeight="1">
      <c r="A59" s="9"/>
      <c r="B59" s="9"/>
      <c r="C59" s="9"/>
      <c r="D59" s="9"/>
      <c r="E59" s="9"/>
      <c r="F59" s="9"/>
      <c r="G59" s="9"/>
      <c r="H59" s="9"/>
    </row>
    <row r="60" ht="15.75" customHeight="1">
      <c r="A60" s="9"/>
      <c r="B60" s="9"/>
      <c r="C60" s="9"/>
      <c r="D60" s="9"/>
      <c r="E60" s="9"/>
      <c r="F60" s="9"/>
      <c r="G60" s="9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9"/>
      <c r="B65" s="9"/>
      <c r="C65" s="9"/>
      <c r="D65" s="9"/>
      <c r="E65" s="9"/>
      <c r="F65" s="9"/>
      <c r="G65" s="9"/>
      <c r="H65" s="9"/>
    </row>
    <row r="66" ht="15.75" customHeight="1">
      <c r="A66" s="9"/>
      <c r="B66" s="9"/>
      <c r="C66" s="9"/>
      <c r="D66" s="9"/>
      <c r="E66" s="9"/>
      <c r="F66" s="9"/>
      <c r="G66" s="9"/>
      <c r="H66" s="9"/>
    </row>
    <row r="67" ht="15.75" customHeight="1">
      <c r="A67" s="9"/>
      <c r="B67" s="9"/>
      <c r="C67" s="9"/>
      <c r="D67" s="9"/>
      <c r="E67" s="9"/>
      <c r="F67" s="9"/>
      <c r="G67" s="9"/>
      <c r="H67" s="9"/>
    </row>
    <row r="68" ht="15.75" customHeight="1">
      <c r="A68" s="9"/>
      <c r="B68" s="9"/>
      <c r="C68" s="9"/>
      <c r="D68" s="9"/>
      <c r="E68" s="9"/>
      <c r="F68" s="9"/>
      <c r="G68" s="9"/>
      <c r="H68" s="9"/>
    </row>
    <row r="69" ht="15.75" customHeight="1">
      <c r="A69" s="9"/>
      <c r="B69" s="9"/>
      <c r="C69" s="9"/>
      <c r="D69" s="9"/>
      <c r="E69" s="9"/>
      <c r="F69" s="9"/>
      <c r="G69" s="9"/>
      <c r="H69" s="9"/>
    </row>
    <row r="70" ht="15.75" customHeight="1">
      <c r="A70" s="9"/>
      <c r="B70" s="9"/>
      <c r="C70" s="9"/>
      <c r="D70" s="9"/>
      <c r="E70" s="9"/>
      <c r="F70" s="9"/>
      <c r="G70" s="9"/>
      <c r="H70" s="9"/>
    </row>
    <row r="71" ht="15.75" customHeight="1">
      <c r="A71" s="9"/>
      <c r="B71" s="9"/>
      <c r="C71" s="9"/>
      <c r="D71" s="9"/>
      <c r="E71" s="9"/>
      <c r="F71" s="9"/>
      <c r="G71" s="9"/>
      <c r="H71" s="9"/>
    </row>
    <row r="72" ht="15.75" customHeight="1">
      <c r="A72" s="9"/>
      <c r="B72" s="9"/>
      <c r="C72" s="9"/>
      <c r="D72" s="9"/>
      <c r="E72" s="9"/>
      <c r="F72" s="9"/>
      <c r="G72" s="9"/>
      <c r="H72" s="9"/>
    </row>
    <row r="73" ht="15.75" customHeight="1">
      <c r="A73" s="9"/>
      <c r="B73" s="9"/>
      <c r="C73" s="9"/>
      <c r="D73" s="9"/>
      <c r="E73" s="9"/>
      <c r="F73" s="9"/>
      <c r="G73" s="9"/>
      <c r="H73" s="9"/>
    </row>
    <row r="74" ht="15.75" customHeight="1">
      <c r="A74" s="9"/>
      <c r="B74" s="9"/>
      <c r="C74" s="9"/>
      <c r="D74" s="9"/>
      <c r="E74" s="9"/>
      <c r="F74" s="9"/>
      <c r="G74" s="9"/>
      <c r="H74" s="9"/>
    </row>
    <row r="75" ht="15.75" customHeight="1">
      <c r="A75" s="9"/>
      <c r="B75" s="9"/>
      <c r="C75" s="9"/>
      <c r="D75" s="9"/>
      <c r="E75" s="9"/>
      <c r="F75" s="9"/>
      <c r="G75" s="9"/>
      <c r="H75" s="9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H$19"/>
  <mergeCells count="7">
    <mergeCell ref="A1:H1"/>
    <mergeCell ref="A2:H2"/>
    <mergeCell ref="A4:H4"/>
    <mergeCell ref="A8:H8"/>
    <mergeCell ref="A21:H21"/>
    <mergeCell ref="A23:H23"/>
    <mergeCell ref="A27:H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79.0"/>
    <col customWidth="1" min="3" max="3" width="26.0"/>
    <col customWidth="1" min="4" max="4" width="18.0"/>
    <col customWidth="1" min="5" max="5" width="10.0"/>
    <col customWidth="1" min="6" max="6" width="15.0"/>
    <col customWidth="1" min="7" max="7" width="16.0"/>
    <col customWidth="1" min="8" max="8" width="28.0"/>
    <col customWidth="1" min="9" max="19" width="8.71"/>
  </cols>
  <sheetData>
    <row r="1" ht="33.75" customHeight="1">
      <c r="A1" s="3" t="s">
        <v>1</v>
      </c>
      <c r="B1" s="2"/>
      <c r="C1" s="2"/>
      <c r="D1" s="2"/>
      <c r="E1" s="2"/>
      <c r="F1" s="2"/>
      <c r="G1" s="2"/>
      <c r="H1" s="4"/>
    </row>
    <row r="2" ht="18.0" customHeight="1">
      <c r="A2" s="6" t="s">
        <v>4</v>
      </c>
      <c r="B2" s="2"/>
      <c r="C2" s="2"/>
      <c r="D2" s="2"/>
      <c r="E2" s="2"/>
      <c r="F2" s="2"/>
      <c r="G2" s="2"/>
      <c r="H2" s="4"/>
    </row>
    <row r="3" ht="24.0" customHeight="1">
      <c r="A3" s="7" t="s">
        <v>6</v>
      </c>
      <c r="B3" s="7" t="s">
        <v>7</v>
      </c>
      <c r="C3" s="7" t="s">
        <v>8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</row>
    <row r="4" ht="19.5" customHeight="1">
      <c r="A4" s="12">
        <v>46130.0</v>
      </c>
      <c r="B4" s="14" t="s">
        <v>19</v>
      </c>
      <c r="C4" s="14" t="s">
        <v>20</v>
      </c>
      <c r="D4" s="14" t="s">
        <v>22</v>
      </c>
      <c r="E4" s="17" t="s">
        <v>25</v>
      </c>
      <c r="F4" s="17" t="s">
        <v>28</v>
      </c>
      <c r="G4" s="20">
        <v>5655.57</v>
      </c>
      <c r="H4" s="1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9.5" customHeight="1">
      <c r="A5" s="27">
        <v>46135.0</v>
      </c>
      <c r="B5" s="29" t="s">
        <v>36</v>
      </c>
      <c r="C5" s="29" t="s">
        <v>20</v>
      </c>
      <c r="D5" s="29" t="s">
        <v>22</v>
      </c>
      <c r="E5" s="30" t="s">
        <v>38</v>
      </c>
      <c r="F5" s="30" t="s">
        <v>28</v>
      </c>
      <c r="G5" s="31">
        <v>4891.0</v>
      </c>
      <c r="H5" s="29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9.5" customHeight="1">
      <c r="A6" s="35">
        <v>46142.0</v>
      </c>
      <c r="B6" s="37" t="s">
        <v>50</v>
      </c>
      <c r="C6" s="37" t="s">
        <v>53</v>
      </c>
      <c r="D6" s="37" t="s">
        <v>54</v>
      </c>
      <c r="E6" s="39" t="s">
        <v>56</v>
      </c>
      <c r="F6" s="39" t="s">
        <v>58</v>
      </c>
      <c r="G6" s="41">
        <v>5000.0</v>
      </c>
      <c r="H6" s="37" t="s">
        <v>60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9.5" customHeight="1">
      <c r="A7" s="27">
        <v>46147.0</v>
      </c>
      <c r="B7" s="29" t="s">
        <v>67</v>
      </c>
      <c r="C7" s="29" t="s">
        <v>68</v>
      </c>
      <c r="D7" s="29" t="s">
        <v>22</v>
      </c>
      <c r="E7" s="30" t="s">
        <v>69</v>
      </c>
      <c r="F7" s="30" t="s">
        <v>58</v>
      </c>
      <c r="G7" s="31">
        <v>24006.42</v>
      </c>
      <c r="H7" s="29" t="s">
        <v>71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9.5" customHeight="1">
      <c r="A8" s="27">
        <v>46160.0</v>
      </c>
      <c r="B8" s="29" t="s">
        <v>72</v>
      </c>
      <c r="C8" s="29" t="s">
        <v>74</v>
      </c>
      <c r="D8" s="29" t="s">
        <v>22</v>
      </c>
      <c r="E8" s="58">
        <v>46023.0</v>
      </c>
      <c r="F8" s="30" t="s">
        <v>58</v>
      </c>
      <c r="G8" s="31">
        <v>2990.57</v>
      </c>
      <c r="H8" s="29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9.5" customHeight="1">
      <c r="A9" s="27">
        <v>46160.0</v>
      </c>
      <c r="B9" s="29" t="s">
        <v>84</v>
      </c>
      <c r="C9" s="29" t="s">
        <v>74</v>
      </c>
      <c r="D9" s="29" t="s">
        <v>22</v>
      </c>
      <c r="E9" s="58">
        <v>46054.0</v>
      </c>
      <c r="F9" s="30" t="s">
        <v>58</v>
      </c>
      <c r="G9" s="31">
        <v>10800.53</v>
      </c>
      <c r="H9" s="29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9.5" customHeight="1">
      <c r="A10" s="27">
        <v>46160.0</v>
      </c>
      <c r="B10" s="29" t="s">
        <v>88</v>
      </c>
      <c r="C10" s="29" t="s">
        <v>89</v>
      </c>
      <c r="D10" s="29" t="s">
        <v>22</v>
      </c>
      <c r="E10" s="58">
        <v>46023.0</v>
      </c>
      <c r="F10" s="30" t="s">
        <v>58</v>
      </c>
      <c r="G10" s="31">
        <v>29365.41</v>
      </c>
      <c r="H10" s="31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9.5" customHeight="1">
      <c r="A11" s="27">
        <v>46191.0</v>
      </c>
      <c r="B11" s="73" t="s">
        <v>95</v>
      </c>
      <c r="C11" s="73" t="s">
        <v>96</v>
      </c>
      <c r="D11" s="73" t="s">
        <v>22</v>
      </c>
      <c r="E11" s="58">
        <v>46023.0</v>
      </c>
      <c r="F11" s="30" t="s">
        <v>58</v>
      </c>
      <c r="G11" s="31">
        <v>14933.56</v>
      </c>
      <c r="H11" s="31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19.5" customHeight="1">
      <c r="A12" s="27">
        <v>46196.0</v>
      </c>
      <c r="B12" s="29" t="s">
        <v>99</v>
      </c>
      <c r="C12" s="29" t="s">
        <v>102</v>
      </c>
      <c r="D12" s="73" t="s">
        <v>22</v>
      </c>
      <c r="E12" s="58">
        <v>46024.0</v>
      </c>
      <c r="F12" s="30" t="s">
        <v>58</v>
      </c>
      <c r="G12" s="31">
        <v>13505.8</v>
      </c>
      <c r="H12" s="3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19.5" customHeight="1">
      <c r="A13" s="27">
        <v>46204.0</v>
      </c>
      <c r="B13" s="29" t="s">
        <v>104</v>
      </c>
      <c r="C13" s="73" t="s">
        <v>96</v>
      </c>
      <c r="D13" s="73" t="s">
        <v>22</v>
      </c>
      <c r="E13" s="58">
        <v>46023.0</v>
      </c>
      <c r="F13" s="30" t="s">
        <v>58</v>
      </c>
      <c r="G13" s="31">
        <v>2894.1</v>
      </c>
      <c r="H13" s="3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19.5" customHeight="1">
      <c r="A14" s="27">
        <v>46174.0</v>
      </c>
      <c r="B14" s="29" t="s">
        <v>107</v>
      </c>
      <c r="C14" s="29" t="s">
        <v>89</v>
      </c>
      <c r="D14" s="29" t="s">
        <v>22</v>
      </c>
      <c r="E14" s="58">
        <v>46023.0</v>
      </c>
      <c r="F14" s="30" t="s">
        <v>58</v>
      </c>
      <c r="G14" s="31">
        <v>27351.44</v>
      </c>
      <c r="H14" s="3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19.5" customHeight="1">
      <c r="A15" s="82">
        <v>46216.0</v>
      </c>
      <c r="B15" s="29" t="s">
        <v>112</v>
      </c>
      <c r="C15" s="29" t="s">
        <v>74</v>
      </c>
      <c r="D15" s="29" t="s">
        <v>22</v>
      </c>
      <c r="E15" s="58">
        <v>46023.0</v>
      </c>
      <c r="F15" s="30" t="s">
        <v>58</v>
      </c>
      <c r="G15" s="31">
        <v>19526.19</v>
      </c>
      <c r="H15" s="3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19.5" customHeight="1">
      <c r="A16" s="82">
        <v>46216.0</v>
      </c>
      <c r="B16" s="29" t="s">
        <v>84</v>
      </c>
      <c r="C16" s="29" t="s">
        <v>74</v>
      </c>
      <c r="D16" s="29" t="s">
        <v>22</v>
      </c>
      <c r="E16" s="58">
        <v>46055.0</v>
      </c>
      <c r="F16" s="30" t="s">
        <v>58</v>
      </c>
      <c r="G16" s="31">
        <v>10800.53</v>
      </c>
      <c r="H16" s="31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19.5" customHeight="1">
      <c r="A17" s="82">
        <v>46216.0</v>
      </c>
      <c r="B17" s="29" t="s">
        <v>121</v>
      </c>
      <c r="C17" s="29" t="s">
        <v>89</v>
      </c>
      <c r="D17" s="29" t="s">
        <v>22</v>
      </c>
      <c r="E17" s="58">
        <v>46055.0</v>
      </c>
      <c r="F17" s="30" t="s">
        <v>58</v>
      </c>
      <c r="G17" s="31">
        <v>25038.04</v>
      </c>
      <c r="H17" s="8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19.5" customHeight="1">
      <c r="A18" s="82">
        <v>46223.0</v>
      </c>
      <c r="B18" s="29" t="s">
        <v>126</v>
      </c>
      <c r="C18" s="29" t="s">
        <v>74</v>
      </c>
      <c r="D18" s="29" t="s">
        <v>22</v>
      </c>
      <c r="E18" s="58">
        <v>46056.0</v>
      </c>
      <c r="F18" s="30" t="s">
        <v>58</v>
      </c>
      <c r="G18" s="31">
        <v>17485.5</v>
      </c>
      <c r="H18" s="82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9.5" customHeight="1">
      <c r="A19" s="82">
        <v>46223.0</v>
      </c>
      <c r="B19" s="29" t="s">
        <v>129</v>
      </c>
      <c r="C19" s="29" t="s">
        <v>74</v>
      </c>
      <c r="D19" s="29" t="s">
        <v>22</v>
      </c>
      <c r="E19" s="58">
        <v>46056.0</v>
      </c>
      <c r="F19" s="30" t="s">
        <v>58</v>
      </c>
      <c r="G19" s="31">
        <v>1900.0</v>
      </c>
      <c r="H19" s="82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9.5" customHeight="1">
      <c r="A20" s="82">
        <v>46224.0</v>
      </c>
      <c r="B20" s="29" t="s">
        <v>132</v>
      </c>
      <c r="C20" s="29" t="s">
        <v>133</v>
      </c>
      <c r="D20" s="29" t="s">
        <v>22</v>
      </c>
      <c r="E20" s="58">
        <v>46023.0</v>
      </c>
      <c r="F20" s="30" t="s">
        <v>58</v>
      </c>
      <c r="G20" s="31">
        <v>5788.2</v>
      </c>
      <c r="H20" s="82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9.5" customHeight="1">
      <c r="A21" s="82">
        <v>46230.0</v>
      </c>
      <c r="B21" s="29" t="s">
        <v>138</v>
      </c>
      <c r="C21" s="29" t="s">
        <v>74</v>
      </c>
      <c r="D21" s="29" t="s">
        <v>139</v>
      </c>
      <c r="E21" s="58">
        <v>46024.0</v>
      </c>
      <c r="F21" s="30" t="s">
        <v>58</v>
      </c>
      <c r="G21" s="31">
        <v>1929.4</v>
      </c>
      <c r="H21" s="8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9.5" customHeight="1">
      <c r="A22" s="82">
        <v>46230.0</v>
      </c>
      <c r="B22" s="29" t="s">
        <v>144</v>
      </c>
      <c r="C22" s="29" t="s">
        <v>74</v>
      </c>
      <c r="D22" s="29" t="s">
        <v>145</v>
      </c>
      <c r="E22" s="58">
        <v>46025.0</v>
      </c>
      <c r="F22" s="30" t="s">
        <v>58</v>
      </c>
      <c r="G22" s="31">
        <v>9647.0</v>
      </c>
      <c r="H22" s="8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25.5" customHeight="1">
      <c r="A23" s="86" t="s">
        <v>148</v>
      </c>
      <c r="B23" s="2"/>
      <c r="C23" s="2"/>
      <c r="D23" s="2"/>
      <c r="E23" s="2"/>
      <c r="F23" s="4"/>
      <c r="G23" s="87">
        <f>SUM(G4:G22)</f>
        <v>233509.26</v>
      </c>
      <c r="H23" s="88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9.5" customHeight="1">
      <c r="A24" s="89"/>
      <c r="B24" s="90"/>
      <c r="C24" s="90"/>
      <c r="D24" s="90"/>
      <c r="E24" s="91"/>
      <c r="F24" s="91"/>
      <c r="G24" s="92"/>
      <c r="H24" s="9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9.5" customHeight="1">
      <c r="A25" s="93" t="s">
        <v>155</v>
      </c>
      <c r="B25" s="2"/>
      <c r="C25" s="2"/>
      <c r="D25" s="2"/>
      <c r="E25" s="2"/>
      <c r="F25" s="2"/>
      <c r="G25" s="2"/>
      <c r="H25" s="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25.5" customHeight="1">
      <c r="A26" s="94"/>
      <c r="B26" s="24"/>
      <c r="C26" s="24"/>
      <c r="D26" s="24"/>
      <c r="E26" s="24"/>
      <c r="F26" s="24"/>
      <c r="G26" s="9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5.0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5.0" customHeight="1">
      <c r="A28" s="9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5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5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5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5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5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5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5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5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5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5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5.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5.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5.0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5.0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5.0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5.0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5.0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15.0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ht="15.0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ht="15.0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15.0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15.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15.0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15.0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15.0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5.0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5.0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5.0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ht="15.0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15.0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5.0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5.0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5.0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15.0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15.0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15.0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ht="15.0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15.0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ht="15.0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ht="15.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15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15.0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15.0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15.0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15.0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15.0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15.0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23:F23"/>
    <mergeCell ref="A25:H2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61.0"/>
    <col customWidth="1" min="3" max="3" width="24.0"/>
    <col customWidth="1" min="4" max="4" width="18.0"/>
    <col customWidth="1" min="5" max="5" width="14.0"/>
    <col customWidth="1" min="6" max="6" width="16.0"/>
    <col customWidth="1" min="7" max="7" width="36.86"/>
    <col customWidth="1" min="8" max="8" width="26.0"/>
    <col customWidth="1" min="9" max="9" width="10.0"/>
    <col customWidth="1" min="10" max="26" width="8.71"/>
  </cols>
  <sheetData>
    <row r="1" ht="33.75" customHeight="1">
      <c r="A1" s="5" t="s">
        <v>2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8" t="s">
        <v>5</v>
      </c>
      <c r="B2" s="2"/>
      <c r="C2" s="2"/>
      <c r="D2" s="2"/>
      <c r="E2" s="2"/>
      <c r="F2" s="2"/>
      <c r="G2" s="2"/>
      <c r="H2" s="2"/>
      <c r="I2" s="4"/>
    </row>
    <row r="3" ht="24.0" customHeight="1">
      <c r="A3" s="10" t="s">
        <v>6</v>
      </c>
      <c r="B3" s="10" t="s">
        <v>7</v>
      </c>
      <c r="C3" s="10" t="s">
        <v>15</v>
      </c>
      <c r="D3" s="10" t="s">
        <v>10</v>
      </c>
      <c r="E3" s="10" t="s">
        <v>17</v>
      </c>
      <c r="F3" s="10" t="s">
        <v>13</v>
      </c>
      <c r="G3" s="10" t="s">
        <v>18</v>
      </c>
      <c r="H3" s="10" t="s">
        <v>14</v>
      </c>
      <c r="I3" s="10" t="s">
        <v>21</v>
      </c>
    </row>
    <row r="4" ht="19.5" customHeight="1">
      <c r="A4" s="15">
        <v>46134.0</v>
      </c>
      <c r="B4" s="18" t="s">
        <v>26</v>
      </c>
      <c r="C4" s="18" t="s">
        <v>29</v>
      </c>
      <c r="D4" s="18" t="s">
        <v>30</v>
      </c>
      <c r="E4" s="21" t="s">
        <v>31</v>
      </c>
      <c r="F4" s="26">
        <v>143.58</v>
      </c>
      <c r="G4" s="33" t="s">
        <v>37</v>
      </c>
      <c r="H4" s="18"/>
      <c r="I4" s="36" t="s">
        <v>48</v>
      </c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9.5" customHeight="1">
      <c r="A5" s="44">
        <v>46135.0</v>
      </c>
      <c r="B5" s="46" t="s">
        <v>62</v>
      </c>
      <c r="C5" s="46" t="s">
        <v>64</v>
      </c>
      <c r="D5" s="46" t="s">
        <v>65</v>
      </c>
      <c r="E5" s="48" t="s">
        <v>66</v>
      </c>
      <c r="F5" s="51">
        <v>1000.0</v>
      </c>
      <c r="G5" s="33" t="s">
        <v>70</v>
      </c>
      <c r="H5" s="46"/>
      <c r="I5" s="36" t="s">
        <v>48</v>
      </c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9.5" customHeight="1">
      <c r="A6" s="15">
        <v>46135.0</v>
      </c>
      <c r="B6" s="18" t="s">
        <v>82</v>
      </c>
      <c r="C6" s="18" t="s">
        <v>64</v>
      </c>
      <c r="D6" s="18" t="s">
        <v>65</v>
      </c>
      <c r="E6" s="21" t="s">
        <v>66</v>
      </c>
      <c r="F6" s="26">
        <v>750.0</v>
      </c>
      <c r="G6" s="33" t="s">
        <v>85</v>
      </c>
      <c r="H6" s="18"/>
      <c r="I6" s="36" t="s">
        <v>48</v>
      </c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9.5" customHeight="1">
      <c r="A7" s="44">
        <v>46135.0</v>
      </c>
      <c r="B7" s="46" t="s">
        <v>90</v>
      </c>
      <c r="C7" s="46" t="s">
        <v>64</v>
      </c>
      <c r="D7" s="46" t="s">
        <v>65</v>
      </c>
      <c r="E7" s="48" t="s">
        <v>66</v>
      </c>
      <c r="F7" s="51">
        <v>750.0</v>
      </c>
      <c r="G7" s="33" t="s">
        <v>94</v>
      </c>
      <c r="H7" s="46"/>
      <c r="I7" s="36" t="s">
        <v>48</v>
      </c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9.5" customHeight="1">
      <c r="A8" s="15">
        <v>46135.0</v>
      </c>
      <c r="B8" s="18" t="s">
        <v>98</v>
      </c>
      <c r="C8" s="18" t="s">
        <v>101</v>
      </c>
      <c r="D8" s="18" t="s">
        <v>65</v>
      </c>
      <c r="E8" s="21" t="s">
        <v>66</v>
      </c>
      <c r="F8" s="26">
        <v>400.0</v>
      </c>
      <c r="G8" s="33" t="s">
        <v>103</v>
      </c>
      <c r="H8" s="18"/>
      <c r="I8" s="36" t="s">
        <v>48</v>
      </c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9.5" customHeight="1">
      <c r="A9" s="44">
        <v>46135.0</v>
      </c>
      <c r="B9" s="46" t="s">
        <v>108</v>
      </c>
      <c r="C9" s="46" t="s">
        <v>29</v>
      </c>
      <c r="D9" s="46" t="s">
        <v>30</v>
      </c>
      <c r="E9" s="48" t="s">
        <v>31</v>
      </c>
      <c r="F9" s="51">
        <v>138.03</v>
      </c>
      <c r="G9" s="81"/>
      <c r="H9" s="46"/>
      <c r="I9" s="36" t="s">
        <v>48</v>
      </c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9.5" customHeight="1">
      <c r="A10" s="15">
        <v>46136.0</v>
      </c>
      <c r="B10" s="18" t="s">
        <v>113</v>
      </c>
      <c r="C10" s="18" t="s">
        <v>114</v>
      </c>
      <c r="D10" s="18" t="s">
        <v>30</v>
      </c>
      <c r="E10" s="21" t="s">
        <v>31</v>
      </c>
      <c r="F10" s="26">
        <v>41.12</v>
      </c>
      <c r="G10" s="33" t="s">
        <v>115</v>
      </c>
      <c r="H10" s="18"/>
      <c r="I10" s="36" t="s">
        <v>48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9.5" customHeight="1">
      <c r="A11" s="44">
        <v>46139.0</v>
      </c>
      <c r="B11" s="46" t="s">
        <v>124</v>
      </c>
      <c r="C11" s="46" t="s">
        <v>101</v>
      </c>
      <c r="D11" s="46" t="s">
        <v>65</v>
      </c>
      <c r="E11" s="48" t="s">
        <v>66</v>
      </c>
      <c r="F11" s="51">
        <v>1000.0</v>
      </c>
      <c r="G11" s="33" t="s">
        <v>125</v>
      </c>
      <c r="H11" s="46"/>
      <c r="I11" s="36" t="s">
        <v>48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19.5" customHeight="1">
      <c r="A12" s="15">
        <v>46139.0</v>
      </c>
      <c r="B12" s="18" t="s">
        <v>90</v>
      </c>
      <c r="C12" s="18" t="s">
        <v>64</v>
      </c>
      <c r="D12" s="18" t="s">
        <v>65</v>
      </c>
      <c r="E12" s="21" t="s">
        <v>66</v>
      </c>
      <c r="F12" s="26">
        <v>500.0</v>
      </c>
      <c r="G12" s="33" t="s">
        <v>130</v>
      </c>
      <c r="H12" s="18"/>
      <c r="I12" s="36" t="s">
        <v>48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19.5" customHeight="1">
      <c r="A13" s="44">
        <v>46144.0</v>
      </c>
      <c r="B13" s="46" t="s">
        <v>134</v>
      </c>
      <c r="C13" s="46" t="s">
        <v>64</v>
      </c>
      <c r="D13" s="46" t="s">
        <v>65</v>
      </c>
      <c r="E13" s="48" t="s">
        <v>31</v>
      </c>
      <c r="F13" s="51">
        <v>500.0</v>
      </c>
      <c r="G13" s="33" t="s">
        <v>137</v>
      </c>
      <c r="H13" s="46"/>
      <c r="I13" s="36" t="s">
        <v>48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19.5" customHeight="1">
      <c r="A14" s="15">
        <v>46144.0</v>
      </c>
      <c r="B14" s="18" t="s">
        <v>62</v>
      </c>
      <c r="C14" s="18" t="s">
        <v>64</v>
      </c>
      <c r="D14" s="18" t="s">
        <v>65</v>
      </c>
      <c r="E14" s="48" t="s">
        <v>31</v>
      </c>
      <c r="F14" s="26">
        <v>1000.0</v>
      </c>
      <c r="G14" s="33" t="s">
        <v>143</v>
      </c>
      <c r="H14" s="18"/>
      <c r="I14" s="36" t="s">
        <v>48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19.5" customHeight="1">
      <c r="A15" s="44">
        <v>46144.0</v>
      </c>
      <c r="B15" s="46" t="s">
        <v>82</v>
      </c>
      <c r="C15" s="46" t="s">
        <v>64</v>
      </c>
      <c r="D15" s="46" t="s">
        <v>65</v>
      </c>
      <c r="E15" s="48" t="s">
        <v>31</v>
      </c>
      <c r="F15" s="51">
        <v>400.0</v>
      </c>
      <c r="G15" s="33" t="s">
        <v>152</v>
      </c>
      <c r="H15" s="46"/>
      <c r="I15" s="36" t="s">
        <v>48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19.5" customHeight="1">
      <c r="A16" s="15">
        <v>46144.0</v>
      </c>
      <c r="B16" s="18" t="s">
        <v>90</v>
      </c>
      <c r="C16" s="18" t="s">
        <v>64</v>
      </c>
      <c r="D16" s="18" t="s">
        <v>65</v>
      </c>
      <c r="E16" s="48" t="s">
        <v>31</v>
      </c>
      <c r="F16" s="26">
        <v>400.0</v>
      </c>
      <c r="G16" s="33" t="s">
        <v>156</v>
      </c>
      <c r="H16" s="18"/>
      <c r="I16" s="36" t="s">
        <v>48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19.5" customHeight="1">
      <c r="A17" s="44">
        <v>46147.0</v>
      </c>
      <c r="B17" s="46" t="s">
        <v>159</v>
      </c>
      <c r="C17" s="46" t="s">
        <v>53</v>
      </c>
      <c r="D17" s="46" t="s">
        <v>22</v>
      </c>
      <c r="E17" s="48" t="s">
        <v>66</v>
      </c>
      <c r="F17" s="51">
        <v>12003.21</v>
      </c>
      <c r="G17" s="33" t="s">
        <v>160</v>
      </c>
      <c r="H17" s="46"/>
      <c r="I17" s="36" t="s">
        <v>48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19.5" customHeight="1">
      <c r="A18" s="15">
        <v>46147.0</v>
      </c>
      <c r="B18" s="18" t="s">
        <v>162</v>
      </c>
      <c r="C18" s="18" t="s">
        <v>163</v>
      </c>
      <c r="D18" s="18" t="s">
        <v>22</v>
      </c>
      <c r="E18" s="21" t="s">
        <v>66</v>
      </c>
      <c r="F18" s="26">
        <v>500.0</v>
      </c>
      <c r="G18" s="33" t="s">
        <v>164</v>
      </c>
      <c r="H18" s="18"/>
      <c r="I18" s="36" t="s">
        <v>48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9.5" customHeight="1">
      <c r="A19" s="44">
        <v>46147.0</v>
      </c>
      <c r="B19" s="46" t="s">
        <v>168</v>
      </c>
      <c r="C19" s="46" t="s">
        <v>169</v>
      </c>
      <c r="D19" s="46" t="s">
        <v>30</v>
      </c>
      <c r="E19" s="48" t="s">
        <v>66</v>
      </c>
      <c r="F19" s="51">
        <v>375.0</v>
      </c>
      <c r="G19" s="33" t="s">
        <v>171</v>
      </c>
      <c r="H19" s="46"/>
      <c r="I19" s="36" t="s">
        <v>48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9.5" customHeight="1">
      <c r="A20" s="15">
        <v>46149.0</v>
      </c>
      <c r="B20" s="18" t="s">
        <v>134</v>
      </c>
      <c r="C20" s="18" t="s">
        <v>64</v>
      </c>
      <c r="D20" s="18" t="s">
        <v>65</v>
      </c>
      <c r="E20" s="21" t="s">
        <v>66</v>
      </c>
      <c r="F20" s="26">
        <v>2652.04</v>
      </c>
      <c r="G20" s="33" t="s">
        <v>174</v>
      </c>
      <c r="H20" s="18"/>
      <c r="I20" s="36" t="s">
        <v>48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9.5" customHeight="1">
      <c r="A21" s="44">
        <v>46149.0</v>
      </c>
      <c r="B21" s="46" t="s">
        <v>62</v>
      </c>
      <c r="C21" s="46" t="s">
        <v>64</v>
      </c>
      <c r="D21" s="46" t="s">
        <v>65</v>
      </c>
      <c r="E21" s="48" t="s">
        <v>66</v>
      </c>
      <c r="F21" s="51">
        <v>2000.0</v>
      </c>
      <c r="G21" s="33" t="s">
        <v>178</v>
      </c>
      <c r="H21" s="46"/>
      <c r="I21" s="36" t="s">
        <v>48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9.5" customHeight="1">
      <c r="A22" s="15">
        <v>46150.0</v>
      </c>
      <c r="B22" s="18" t="s">
        <v>181</v>
      </c>
      <c r="C22" s="18" t="s">
        <v>183</v>
      </c>
      <c r="D22" s="18" t="s">
        <v>184</v>
      </c>
      <c r="E22" s="21" t="s">
        <v>66</v>
      </c>
      <c r="F22" s="26">
        <v>485.0</v>
      </c>
      <c r="G22" s="33" t="s">
        <v>185</v>
      </c>
      <c r="H22" s="18"/>
      <c r="I22" s="36" t="s">
        <v>48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9.5" customHeight="1">
      <c r="A23" s="44">
        <v>46150.0</v>
      </c>
      <c r="B23" s="46" t="s">
        <v>186</v>
      </c>
      <c r="C23" s="46" t="s">
        <v>64</v>
      </c>
      <c r="D23" s="46" t="s">
        <v>65</v>
      </c>
      <c r="E23" s="48" t="s">
        <v>66</v>
      </c>
      <c r="F23" s="51">
        <v>1139.0</v>
      </c>
      <c r="G23" s="33" t="s">
        <v>187</v>
      </c>
      <c r="H23" s="46"/>
      <c r="I23" s="36" t="s">
        <v>48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9.5" customHeight="1">
      <c r="A24" s="44">
        <v>46150.0</v>
      </c>
      <c r="B24" s="46" t="s">
        <v>90</v>
      </c>
      <c r="C24" s="46" t="s">
        <v>64</v>
      </c>
      <c r="D24" s="46" t="s">
        <v>65</v>
      </c>
      <c r="E24" s="48" t="s">
        <v>66</v>
      </c>
      <c r="F24" s="51">
        <v>1139.0</v>
      </c>
      <c r="G24" s="115" t="s">
        <v>188</v>
      </c>
      <c r="H24" s="18"/>
      <c r="I24" s="36" t="s">
        <v>48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9.5" customHeight="1">
      <c r="A25" s="15">
        <v>46150.0</v>
      </c>
      <c r="B25" s="18" t="s">
        <v>82</v>
      </c>
      <c r="C25" s="18" t="s">
        <v>64</v>
      </c>
      <c r="D25" s="18" t="s">
        <v>65</v>
      </c>
      <c r="E25" s="21" t="s">
        <v>66</v>
      </c>
      <c r="F25" s="26">
        <v>1139.0</v>
      </c>
      <c r="G25" s="33" t="s">
        <v>156</v>
      </c>
      <c r="H25" s="18"/>
      <c r="I25" s="36" t="s">
        <v>48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19.5" customHeight="1">
      <c r="A26" s="44">
        <v>46156.0</v>
      </c>
      <c r="B26" s="46" t="s">
        <v>191</v>
      </c>
      <c r="C26" s="46" t="s">
        <v>192</v>
      </c>
      <c r="D26" s="18" t="s">
        <v>65</v>
      </c>
      <c r="E26" s="21" t="s">
        <v>66</v>
      </c>
      <c r="F26" s="51">
        <v>750.0</v>
      </c>
      <c r="G26" s="115" t="s">
        <v>194</v>
      </c>
      <c r="H26" s="46"/>
      <c r="I26" s="36" t="s">
        <v>48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9.5" customHeight="1">
      <c r="A27" s="44">
        <v>46156.0</v>
      </c>
      <c r="B27" s="46" t="s">
        <v>90</v>
      </c>
      <c r="C27" s="46" t="s">
        <v>64</v>
      </c>
      <c r="D27" s="18" t="s">
        <v>65</v>
      </c>
      <c r="E27" s="48" t="s">
        <v>66</v>
      </c>
      <c r="F27" s="51">
        <v>1139.0</v>
      </c>
      <c r="G27" s="33" t="s">
        <v>196</v>
      </c>
      <c r="H27" s="46"/>
      <c r="I27" s="36" t="s">
        <v>48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9.5" customHeight="1">
      <c r="A28" s="15">
        <v>46157.0</v>
      </c>
      <c r="B28" s="18" t="s">
        <v>197</v>
      </c>
      <c r="C28" s="18" t="s">
        <v>101</v>
      </c>
      <c r="D28" s="18" t="s">
        <v>65</v>
      </c>
      <c r="E28" s="21" t="s">
        <v>66</v>
      </c>
      <c r="F28" s="26">
        <v>1000.0</v>
      </c>
      <c r="G28" s="33" t="s">
        <v>198</v>
      </c>
      <c r="H28" s="18"/>
      <c r="I28" s="36" t="s">
        <v>48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9.5" customHeight="1">
      <c r="A29" s="15">
        <v>46157.0</v>
      </c>
      <c r="B29" s="18" t="s">
        <v>199</v>
      </c>
      <c r="C29" s="18" t="s">
        <v>101</v>
      </c>
      <c r="D29" s="18" t="s">
        <v>65</v>
      </c>
      <c r="E29" s="21" t="s">
        <v>66</v>
      </c>
      <c r="F29" s="26">
        <v>600.0</v>
      </c>
      <c r="G29" s="118" t="s">
        <v>200</v>
      </c>
      <c r="H29" s="18"/>
      <c r="I29" s="36" t="s">
        <v>48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9.5" customHeight="1">
      <c r="A30" s="15">
        <v>46157.0</v>
      </c>
      <c r="B30" s="18" t="s">
        <v>201</v>
      </c>
      <c r="C30" s="18" t="s">
        <v>169</v>
      </c>
      <c r="D30" s="18" t="s">
        <v>30</v>
      </c>
      <c r="E30" s="21" t="s">
        <v>66</v>
      </c>
      <c r="F30" s="26">
        <v>375.0</v>
      </c>
      <c r="G30" s="119" t="s">
        <v>202</v>
      </c>
      <c r="H30" s="18"/>
      <c r="I30" s="36" t="s">
        <v>48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9.5" customHeight="1">
      <c r="A31" s="15">
        <v>46157.0</v>
      </c>
      <c r="B31" s="18" t="s">
        <v>203</v>
      </c>
      <c r="C31" s="18" t="s">
        <v>101</v>
      </c>
      <c r="D31" s="18" t="s">
        <v>65</v>
      </c>
      <c r="E31" s="21" t="s">
        <v>66</v>
      </c>
      <c r="F31" s="26">
        <v>500.0</v>
      </c>
      <c r="G31" s="118" t="s">
        <v>204</v>
      </c>
      <c r="H31" s="18"/>
      <c r="I31" s="36" t="s">
        <v>48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9.5" customHeight="1">
      <c r="A32" s="15">
        <v>46160.0</v>
      </c>
      <c r="B32" s="18" t="s">
        <v>205</v>
      </c>
      <c r="C32" s="18" t="s">
        <v>53</v>
      </c>
      <c r="D32" s="18" t="s">
        <v>206</v>
      </c>
      <c r="E32" s="21" t="s">
        <v>66</v>
      </c>
      <c r="F32" s="26">
        <v>5400.47</v>
      </c>
      <c r="G32" s="119" t="s">
        <v>207</v>
      </c>
      <c r="H32" s="18"/>
      <c r="I32" s="36" t="s">
        <v>48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9.5" customHeight="1">
      <c r="A33" s="15">
        <v>46160.0</v>
      </c>
      <c r="B33" s="18" t="s">
        <v>82</v>
      </c>
      <c r="C33" s="18" t="s">
        <v>64</v>
      </c>
      <c r="D33" s="18" t="s">
        <v>65</v>
      </c>
      <c r="E33" s="21" t="s">
        <v>66</v>
      </c>
      <c r="F33" s="51">
        <v>1139.0</v>
      </c>
      <c r="G33" s="118" t="s">
        <v>208</v>
      </c>
      <c r="H33" s="18"/>
      <c r="I33" s="36" t="s">
        <v>48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9.5" customHeight="1">
      <c r="A34" s="15">
        <v>46160.0</v>
      </c>
      <c r="B34" s="18" t="s">
        <v>209</v>
      </c>
      <c r="C34" s="18" t="s">
        <v>163</v>
      </c>
      <c r="D34" s="18" t="s">
        <v>206</v>
      </c>
      <c r="E34" s="21" t="s">
        <v>66</v>
      </c>
      <c r="F34" s="26">
        <v>500.0</v>
      </c>
      <c r="G34" s="118" t="s">
        <v>210</v>
      </c>
      <c r="H34" s="18"/>
      <c r="I34" s="36" t="s">
        <v>48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9.5" customHeight="1">
      <c r="A35" s="15">
        <v>46160.0</v>
      </c>
      <c r="B35" s="18" t="s">
        <v>211</v>
      </c>
      <c r="C35" s="18" t="s">
        <v>53</v>
      </c>
      <c r="D35" s="18" t="s">
        <v>206</v>
      </c>
      <c r="E35" s="21" t="s">
        <v>66</v>
      </c>
      <c r="F35" s="26">
        <v>1495.28</v>
      </c>
      <c r="G35" s="119" t="s">
        <v>212</v>
      </c>
      <c r="H35" s="18"/>
      <c r="I35" s="36" t="s">
        <v>48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9.5" customHeight="1">
      <c r="A36" s="120">
        <v>46162.0</v>
      </c>
      <c r="B36" s="121" t="s">
        <v>213</v>
      </c>
      <c r="C36" s="18" t="s">
        <v>64</v>
      </c>
      <c r="D36" s="18" t="s">
        <v>65</v>
      </c>
      <c r="E36" s="21" t="s">
        <v>66</v>
      </c>
      <c r="F36" s="51">
        <v>1139.0</v>
      </c>
      <c r="G36" s="122" t="s">
        <v>214</v>
      </c>
      <c r="H36" s="121"/>
      <c r="I36" s="36" t="s">
        <v>48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9.5" customHeight="1">
      <c r="A37" s="12">
        <v>46164.0</v>
      </c>
      <c r="B37" s="14" t="s">
        <v>215</v>
      </c>
      <c r="C37" s="123" t="s">
        <v>64</v>
      </c>
      <c r="D37" s="18" t="s">
        <v>65</v>
      </c>
      <c r="E37" s="21" t="s">
        <v>66</v>
      </c>
      <c r="F37" s="124">
        <v>800.0</v>
      </c>
      <c r="G37" s="125" t="s">
        <v>216</v>
      </c>
      <c r="H37" s="14"/>
      <c r="I37" s="126" t="s">
        <v>48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9.5" customHeight="1">
      <c r="A38" s="12">
        <v>46164.0</v>
      </c>
      <c r="B38" s="14" t="s">
        <v>217</v>
      </c>
      <c r="C38" s="127" t="s">
        <v>163</v>
      </c>
      <c r="D38" s="18" t="s">
        <v>206</v>
      </c>
      <c r="E38" s="21" t="s">
        <v>66</v>
      </c>
      <c r="F38" s="128">
        <v>500.0</v>
      </c>
      <c r="G38" s="129" t="s">
        <v>218</v>
      </c>
      <c r="H38" s="14"/>
      <c r="I38" s="126" t="s">
        <v>48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8.75" customHeight="1">
      <c r="A39" s="12">
        <v>46166.0</v>
      </c>
      <c r="B39" s="14" t="s">
        <v>219</v>
      </c>
      <c r="C39" s="127" t="s">
        <v>220</v>
      </c>
      <c r="D39" s="18" t="s">
        <v>206</v>
      </c>
      <c r="E39" s="21" t="s">
        <v>66</v>
      </c>
      <c r="F39" s="128">
        <v>250.0</v>
      </c>
      <c r="G39" s="129" t="s">
        <v>221</v>
      </c>
      <c r="H39" s="14"/>
      <c r="I39" s="126" t="s">
        <v>48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5.75" customHeight="1">
      <c r="A40" s="82">
        <v>46166.0</v>
      </c>
      <c r="B40" s="130" t="s">
        <v>222</v>
      </c>
      <c r="C40" s="131" t="s">
        <v>223</v>
      </c>
      <c r="D40" s="132" t="s">
        <v>206</v>
      </c>
      <c r="E40" s="133" t="s">
        <v>66</v>
      </c>
      <c r="F40" s="134">
        <v>250.0</v>
      </c>
      <c r="G40" s="135" t="s">
        <v>224</v>
      </c>
      <c r="H40" s="130"/>
      <c r="I40" s="136" t="s">
        <v>48</v>
      </c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8"/>
      <c r="U40" s="138"/>
      <c r="V40" s="138"/>
      <c r="W40" s="138"/>
      <c r="X40" s="138"/>
      <c r="Y40" s="138"/>
      <c r="Z40" s="138"/>
    </row>
    <row r="41" ht="15.75" customHeight="1">
      <c r="A41" s="82">
        <v>46169.0</v>
      </c>
      <c r="B41" s="14" t="s">
        <v>225</v>
      </c>
      <c r="C41" s="18" t="s">
        <v>64</v>
      </c>
      <c r="D41" s="18" t="s">
        <v>65</v>
      </c>
      <c r="E41" s="133" t="s">
        <v>66</v>
      </c>
      <c r="F41" s="51">
        <v>1000.0</v>
      </c>
      <c r="G41" s="139" t="s">
        <v>226</v>
      </c>
      <c r="H41" s="130"/>
      <c r="I41" s="136" t="s">
        <v>48</v>
      </c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8"/>
      <c r="U41" s="138"/>
      <c r="V41" s="138"/>
      <c r="W41" s="138"/>
      <c r="X41" s="138"/>
      <c r="Y41" s="138"/>
      <c r="Z41" s="138"/>
    </row>
    <row r="42" ht="15.75" customHeight="1">
      <c r="A42" s="82">
        <v>46169.0</v>
      </c>
      <c r="B42" s="14" t="s">
        <v>227</v>
      </c>
      <c r="C42" s="18" t="s">
        <v>64</v>
      </c>
      <c r="D42" s="18" t="s">
        <v>65</v>
      </c>
      <c r="E42" s="133" t="s">
        <v>66</v>
      </c>
      <c r="F42" s="51">
        <v>1000.0</v>
      </c>
      <c r="G42" s="139" t="s">
        <v>228</v>
      </c>
      <c r="H42" s="130"/>
      <c r="I42" s="136" t="s">
        <v>48</v>
      </c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8"/>
      <c r="U42" s="138"/>
      <c r="V42" s="138"/>
      <c r="W42" s="138"/>
      <c r="X42" s="138"/>
      <c r="Y42" s="138"/>
      <c r="Z42" s="138"/>
    </row>
    <row r="43" ht="15.75" customHeight="1">
      <c r="A43" s="82">
        <v>46169.0</v>
      </c>
      <c r="B43" s="14" t="s">
        <v>229</v>
      </c>
      <c r="C43" s="121" t="s">
        <v>101</v>
      </c>
      <c r="D43" s="121" t="s">
        <v>65</v>
      </c>
      <c r="E43" s="133" t="s">
        <v>66</v>
      </c>
      <c r="F43" s="140">
        <v>1000.0</v>
      </c>
      <c r="G43" s="139" t="s">
        <v>230</v>
      </c>
      <c r="H43" s="130"/>
      <c r="I43" s="136" t="s">
        <v>48</v>
      </c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8"/>
      <c r="U43" s="138"/>
      <c r="V43" s="138"/>
      <c r="W43" s="138"/>
      <c r="X43" s="138"/>
      <c r="Y43" s="138"/>
      <c r="Z43" s="138"/>
    </row>
    <row r="44" ht="15.75" customHeight="1">
      <c r="A44" s="141">
        <v>46169.0</v>
      </c>
      <c r="B44" s="142" t="s">
        <v>231</v>
      </c>
      <c r="C44" s="142" t="s">
        <v>163</v>
      </c>
      <c r="D44" s="142" t="s">
        <v>232</v>
      </c>
      <c r="E44" s="143" t="s">
        <v>66</v>
      </c>
      <c r="F44" s="144">
        <v>2500.0</v>
      </c>
      <c r="G44" s="145" t="s">
        <v>233</v>
      </c>
      <c r="H44" s="146"/>
      <c r="I44" s="136" t="s">
        <v>48</v>
      </c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8"/>
      <c r="U44" s="138"/>
      <c r="V44" s="138"/>
      <c r="W44" s="138"/>
      <c r="X44" s="138"/>
      <c r="Y44" s="138"/>
      <c r="Z44" s="138"/>
    </row>
    <row r="45" ht="15.75" customHeight="1">
      <c r="A45" s="82">
        <v>46171.0</v>
      </c>
      <c r="B45" s="14" t="s">
        <v>225</v>
      </c>
      <c r="C45" s="14" t="s">
        <v>64</v>
      </c>
      <c r="D45" s="14" t="s">
        <v>65</v>
      </c>
      <c r="E45" s="83" t="s">
        <v>66</v>
      </c>
      <c r="F45" s="147">
        <v>1000.0</v>
      </c>
      <c r="G45" s="135" t="s">
        <v>234</v>
      </c>
      <c r="H45" s="130"/>
      <c r="I45" s="148" t="s">
        <v>48</v>
      </c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8"/>
      <c r="U45" s="138"/>
      <c r="V45" s="138"/>
      <c r="W45" s="138"/>
      <c r="X45" s="138"/>
      <c r="Y45" s="138"/>
      <c r="Z45" s="138"/>
    </row>
    <row r="46" ht="15.75" customHeight="1">
      <c r="A46" s="82">
        <v>46171.0</v>
      </c>
      <c r="B46" s="18" t="s">
        <v>235</v>
      </c>
      <c r="C46" s="18" t="s">
        <v>64</v>
      </c>
      <c r="D46" s="18" t="s">
        <v>65</v>
      </c>
      <c r="E46" s="21" t="s">
        <v>66</v>
      </c>
      <c r="F46" s="140">
        <v>500.0</v>
      </c>
      <c r="G46" s="122" t="s">
        <v>236</v>
      </c>
      <c r="H46" s="121"/>
      <c r="I46" s="149" t="s">
        <v>48</v>
      </c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8"/>
      <c r="U46" s="138"/>
      <c r="V46" s="138"/>
      <c r="W46" s="138"/>
      <c r="X46" s="138"/>
      <c r="Y46" s="138"/>
      <c r="Z46" s="138"/>
    </row>
    <row r="47" ht="15.75" customHeight="1">
      <c r="A47" s="82">
        <v>46174.0</v>
      </c>
      <c r="B47" s="121" t="s">
        <v>205</v>
      </c>
      <c r="C47" s="121" t="s">
        <v>53</v>
      </c>
      <c r="D47" s="121" t="s">
        <v>206</v>
      </c>
      <c r="E47" s="150" t="s">
        <v>66</v>
      </c>
      <c r="F47" s="147">
        <v>13623.4</v>
      </c>
      <c r="G47" s="125" t="s">
        <v>237</v>
      </c>
      <c r="H47" s="14"/>
      <c r="I47" s="149" t="s">
        <v>48</v>
      </c>
      <c r="J47" s="151"/>
      <c r="K47" s="137"/>
      <c r="L47" s="137"/>
      <c r="M47" s="137"/>
      <c r="N47" s="137"/>
      <c r="O47" s="137"/>
      <c r="P47" s="137"/>
      <c r="Q47" s="137"/>
      <c r="R47" s="137"/>
      <c r="S47" s="137"/>
      <c r="T47" s="138"/>
      <c r="U47" s="138"/>
      <c r="V47" s="138"/>
      <c r="W47" s="138"/>
      <c r="X47" s="138"/>
      <c r="Y47" s="138"/>
      <c r="Z47" s="138"/>
    </row>
    <row r="48" ht="15.75" customHeight="1">
      <c r="A48" s="82">
        <v>46175.0</v>
      </c>
      <c r="B48" s="14" t="s">
        <v>225</v>
      </c>
      <c r="C48" s="14" t="s">
        <v>64</v>
      </c>
      <c r="D48" s="14" t="s">
        <v>65</v>
      </c>
      <c r="E48" s="150" t="s">
        <v>66</v>
      </c>
      <c r="F48" s="152">
        <v>1139.0</v>
      </c>
      <c r="G48" s="135" t="s">
        <v>238</v>
      </c>
      <c r="H48" s="130"/>
      <c r="I48" s="149" t="s">
        <v>48</v>
      </c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8"/>
      <c r="U48" s="138"/>
      <c r="V48" s="138"/>
      <c r="W48" s="138"/>
      <c r="X48" s="138"/>
      <c r="Y48" s="138"/>
      <c r="Z48" s="138"/>
    </row>
    <row r="49" ht="15.75" customHeight="1">
      <c r="A49" s="82">
        <v>46175.0</v>
      </c>
      <c r="B49" s="18" t="s">
        <v>82</v>
      </c>
      <c r="C49" s="14" t="s">
        <v>64</v>
      </c>
      <c r="D49" s="14" t="s">
        <v>65</v>
      </c>
      <c r="E49" s="150" t="s">
        <v>66</v>
      </c>
      <c r="F49" s="152">
        <v>570.0</v>
      </c>
      <c r="G49" s="135" t="s">
        <v>239</v>
      </c>
      <c r="H49" s="130"/>
      <c r="I49" s="149" t="s">
        <v>48</v>
      </c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8"/>
      <c r="U49" s="138"/>
      <c r="V49" s="138"/>
      <c r="W49" s="138"/>
      <c r="X49" s="138"/>
      <c r="Y49" s="138"/>
      <c r="Z49" s="138"/>
    </row>
    <row r="50" ht="15.75" customHeight="1">
      <c r="A50" s="82">
        <v>46175.0</v>
      </c>
      <c r="B50" s="14" t="s">
        <v>227</v>
      </c>
      <c r="C50" s="14" t="s">
        <v>64</v>
      </c>
      <c r="D50" s="14" t="s">
        <v>65</v>
      </c>
      <c r="E50" s="150" t="s">
        <v>66</v>
      </c>
      <c r="F50" s="152">
        <v>570.0</v>
      </c>
      <c r="G50" s="153" t="s">
        <v>240</v>
      </c>
      <c r="H50" s="154"/>
      <c r="I50" s="149" t="s">
        <v>48</v>
      </c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8"/>
      <c r="U50" s="138"/>
      <c r="V50" s="138"/>
      <c r="W50" s="138"/>
      <c r="X50" s="138"/>
      <c r="Y50" s="138"/>
      <c r="Z50" s="138"/>
    </row>
    <row r="51" ht="15.75" customHeight="1">
      <c r="A51" s="82">
        <v>46177.0</v>
      </c>
      <c r="B51" s="14" t="s">
        <v>241</v>
      </c>
      <c r="C51" s="14" t="s">
        <v>101</v>
      </c>
      <c r="D51" s="14" t="s">
        <v>65</v>
      </c>
      <c r="E51" s="150" t="s">
        <v>66</v>
      </c>
      <c r="F51" s="152">
        <v>500.0</v>
      </c>
      <c r="G51" s="153" t="s">
        <v>242</v>
      </c>
      <c r="H51" s="154"/>
      <c r="I51" s="149" t="s">
        <v>48</v>
      </c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8"/>
      <c r="U51" s="138"/>
      <c r="V51" s="138"/>
      <c r="W51" s="138"/>
      <c r="X51" s="138"/>
      <c r="Y51" s="138"/>
      <c r="Z51" s="138"/>
    </row>
    <row r="52" ht="15.75" customHeight="1">
      <c r="A52" s="82">
        <v>46177.0</v>
      </c>
      <c r="B52" s="14" t="s">
        <v>243</v>
      </c>
      <c r="C52" s="14" t="s">
        <v>101</v>
      </c>
      <c r="D52" s="14" t="s">
        <v>65</v>
      </c>
      <c r="E52" s="150" t="s">
        <v>66</v>
      </c>
      <c r="F52" s="152">
        <v>500.0</v>
      </c>
      <c r="G52" s="153" t="s">
        <v>244</v>
      </c>
      <c r="H52" s="154"/>
      <c r="I52" s="149" t="s">
        <v>48</v>
      </c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8"/>
      <c r="U52" s="138"/>
      <c r="V52" s="138"/>
      <c r="W52" s="138"/>
      <c r="X52" s="138"/>
      <c r="Y52" s="138"/>
      <c r="Z52" s="138"/>
    </row>
    <row r="53" ht="15.75" customHeight="1">
      <c r="A53" s="82">
        <v>46177.0</v>
      </c>
      <c r="B53" s="14" t="s">
        <v>245</v>
      </c>
      <c r="C53" s="14" t="s">
        <v>64</v>
      </c>
      <c r="D53" s="14" t="s">
        <v>65</v>
      </c>
      <c r="E53" s="150" t="s">
        <v>66</v>
      </c>
      <c r="F53" s="152">
        <v>500.0</v>
      </c>
      <c r="G53" s="153" t="s">
        <v>246</v>
      </c>
      <c r="H53" s="154"/>
      <c r="I53" s="149" t="s">
        <v>48</v>
      </c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8"/>
      <c r="U53" s="138"/>
      <c r="V53" s="138"/>
      <c r="W53" s="138"/>
      <c r="X53" s="138"/>
      <c r="Y53" s="138"/>
      <c r="Z53" s="138"/>
    </row>
    <row r="54" ht="15.75" customHeight="1">
      <c r="A54" s="82">
        <v>46177.0</v>
      </c>
      <c r="B54" s="14" t="s">
        <v>247</v>
      </c>
      <c r="C54" s="14" t="s">
        <v>64</v>
      </c>
      <c r="D54" s="14" t="s">
        <v>65</v>
      </c>
      <c r="E54" s="150" t="s">
        <v>66</v>
      </c>
      <c r="F54" s="152">
        <v>1000.0</v>
      </c>
      <c r="G54" s="153" t="s">
        <v>248</v>
      </c>
      <c r="H54" s="154"/>
      <c r="I54" s="149" t="s">
        <v>48</v>
      </c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8"/>
      <c r="U54" s="138"/>
      <c r="V54" s="138"/>
      <c r="W54" s="138"/>
      <c r="X54" s="138"/>
      <c r="Y54" s="138"/>
      <c r="Z54" s="138"/>
    </row>
    <row r="55" ht="15.75" customHeight="1">
      <c r="A55" s="82">
        <v>46177.0</v>
      </c>
      <c r="B55" s="14" t="s">
        <v>249</v>
      </c>
      <c r="C55" s="14" t="s">
        <v>64</v>
      </c>
      <c r="D55" s="14" t="s">
        <v>65</v>
      </c>
      <c r="E55" s="150" t="s">
        <v>66</v>
      </c>
      <c r="F55" s="152">
        <v>500.0</v>
      </c>
      <c r="G55" s="153" t="s">
        <v>250</v>
      </c>
      <c r="H55" s="154"/>
      <c r="I55" s="149" t="s">
        <v>48</v>
      </c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8"/>
      <c r="U55" s="138"/>
      <c r="V55" s="138"/>
      <c r="W55" s="138"/>
      <c r="X55" s="138"/>
      <c r="Y55" s="138"/>
      <c r="Z55" s="138"/>
    </row>
    <row r="56" ht="15.75" customHeight="1">
      <c r="A56" s="82">
        <v>46177.0</v>
      </c>
      <c r="B56" s="14" t="s">
        <v>227</v>
      </c>
      <c r="C56" s="14" t="s">
        <v>64</v>
      </c>
      <c r="D56" s="14" t="s">
        <v>65</v>
      </c>
      <c r="E56" s="150" t="s">
        <v>66</v>
      </c>
      <c r="F56" s="152">
        <v>500.0</v>
      </c>
      <c r="G56" s="153" t="s">
        <v>251</v>
      </c>
      <c r="H56" s="154"/>
      <c r="I56" s="149" t="s">
        <v>48</v>
      </c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8"/>
      <c r="U56" s="138"/>
      <c r="V56" s="138"/>
      <c r="W56" s="138"/>
      <c r="X56" s="138"/>
      <c r="Y56" s="138"/>
      <c r="Z56" s="138"/>
    </row>
    <row r="57" ht="15.75" customHeight="1">
      <c r="A57" s="82">
        <v>46177.0</v>
      </c>
      <c r="B57" s="142" t="s">
        <v>252</v>
      </c>
      <c r="C57" s="14" t="s">
        <v>64</v>
      </c>
      <c r="D57" s="14" t="s">
        <v>65</v>
      </c>
      <c r="E57" s="150" t="s">
        <v>66</v>
      </c>
      <c r="F57" s="152">
        <v>300.0</v>
      </c>
      <c r="G57" s="155" t="s">
        <v>253</v>
      </c>
      <c r="H57" s="156"/>
      <c r="I57" s="149" t="s">
        <v>48</v>
      </c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8"/>
      <c r="U57" s="138"/>
      <c r="V57" s="138"/>
      <c r="W57" s="138"/>
      <c r="X57" s="138"/>
      <c r="Y57" s="138"/>
      <c r="Z57" s="138"/>
    </row>
    <row r="58" ht="15.75" customHeight="1">
      <c r="A58" s="82">
        <v>46177.0</v>
      </c>
      <c r="B58" s="14" t="s">
        <v>254</v>
      </c>
      <c r="C58" s="14" t="s">
        <v>101</v>
      </c>
      <c r="D58" s="14" t="s">
        <v>65</v>
      </c>
      <c r="E58" s="150" t="s">
        <v>66</v>
      </c>
      <c r="F58" s="152">
        <v>1000.0</v>
      </c>
      <c r="G58" s="153" t="s">
        <v>255</v>
      </c>
      <c r="H58" s="154"/>
      <c r="I58" s="149" t="s">
        <v>48</v>
      </c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8"/>
      <c r="U58" s="138"/>
      <c r="V58" s="138"/>
      <c r="W58" s="138"/>
      <c r="X58" s="138"/>
      <c r="Y58" s="138"/>
      <c r="Z58" s="138"/>
    </row>
    <row r="59" ht="15.75" customHeight="1">
      <c r="A59" s="82">
        <v>46183.0</v>
      </c>
      <c r="B59" s="14" t="s">
        <v>256</v>
      </c>
      <c r="C59" s="14" t="s">
        <v>257</v>
      </c>
      <c r="D59" s="14" t="s">
        <v>258</v>
      </c>
      <c r="E59" s="17" t="s">
        <v>66</v>
      </c>
      <c r="F59" s="152">
        <v>300.0</v>
      </c>
      <c r="G59" s="135" t="s">
        <v>259</v>
      </c>
      <c r="H59" s="130"/>
      <c r="I59" s="157" t="s">
        <v>48</v>
      </c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8"/>
      <c r="U59" s="138"/>
      <c r="V59" s="138"/>
      <c r="W59" s="138"/>
      <c r="X59" s="138"/>
      <c r="Y59" s="138"/>
      <c r="Z59" s="138"/>
    </row>
    <row r="60" ht="15.75" customHeight="1">
      <c r="A60" s="82">
        <v>46184.0</v>
      </c>
      <c r="B60" s="14" t="s">
        <v>261</v>
      </c>
      <c r="C60" s="14" t="s">
        <v>262</v>
      </c>
      <c r="D60" s="14" t="s">
        <v>263</v>
      </c>
      <c r="E60" s="17" t="s">
        <v>66</v>
      </c>
      <c r="F60" s="152">
        <v>4700.39</v>
      </c>
      <c r="G60" s="135" t="s">
        <v>264</v>
      </c>
      <c r="H60" s="130"/>
      <c r="I60" s="157" t="s">
        <v>48</v>
      </c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8"/>
      <c r="U60" s="138"/>
      <c r="V60" s="138"/>
      <c r="W60" s="138"/>
      <c r="X60" s="138"/>
      <c r="Y60" s="138"/>
      <c r="Z60" s="138"/>
    </row>
    <row r="61" ht="15.75" customHeight="1">
      <c r="A61" s="82">
        <v>46191.0</v>
      </c>
      <c r="B61" s="14" t="s">
        <v>231</v>
      </c>
      <c r="C61" s="14" t="s">
        <v>163</v>
      </c>
      <c r="D61" s="14" t="s">
        <v>268</v>
      </c>
      <c r="E61" s="17" t="s">
        <v>66</v>
      </c>
      <c r="F61" s="152">
        <v>2500.0</v>
      </c>
      <c r="G61" s="135" t="s">
        <v>271</v>
      </c>
      <c r="H61" s="130"/>
      <c r="I61" s="157" t="s">
        <v>48</v>
      </c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38"/>
      <c r="U61" s="138"/>
      <c r="V61" s="138"/>
      <c r="W61" s="138"/>
      <c r="X61" s="138"/>
      <c r="Y61" s="138"/>
      <c r="Z61" s="138"/>
    </row>
    <row r="62" ht="15.75" customHeight="1">
      <c r="A62" s="82">
        <v>46191.0</v>
      </c>
      <c r="B62" s="130" t="s">
        <v>280</v>
      </c>
      <c r="C62" s="14" t="s">
        <v>281</v>
      </c>
      <c r="D62" s="14" t="s">
        <v>65</v>
      </c>
      <c r="E62" s="17" t="s">
        <v>66</v>
      </c>
      <c r="F62" s="152">
        <v>1000.0</v>
      </c>
      <c r="G62" s="135" t="s">
        <v>271</v>
      </c>
      <c r="H62" s="130"/>
      <c r="I62" s="157" t="s">
        <v>48</v>
      </c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8"/>
      <c r="U62" s="138"/>
      <c r="V62" s="138"/>
      <c r="W62" s="138"/>
      <c r="X62" s="138"/>
      <c r="Y62" s="138"/>
      <c r="Z62" s="138"/>
    </row>
    <row r="63" ht="15.75" customHeight="1">
      <c r="A63" s="82">
        <v>46191.0</v>
      </c>
      <c r="B63" s="130" t="s">
        <v>282</v>
      </c>
      <c r="C63" s="14" t="s">
        <v>281</v>
      </c>
      <c r="D63" s="14" t="s">
        <v>65</v>
      </c>
      <c r="E63" s="17" t="s">
        <v>66</v>
      </c>
      <c r="F63" s="152">
        <v>400.0</v>
      </c>
      <c r="G63" s="135" t="s">
        <v>283</v>
      </c>
      <c r="H63" s="130"/>
      <c r="I63" s="157" t="s">
        <v>48</v>
      </c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8"/>
      <c r="U63" s="138"/>
      <c r="V63" s="138"/>
      <c r="W63" s="138"/>
      <c r="X63" s="138"/>
      <c r="Y63" s="138"/>
      <c r="Z63" s="138"/>
    </row>
    <row r="64" ht="15.75" customHeight="1">
      <c r="A64" s="82">
        <v>46191.0</v>
      </c>
      <c r="B64" s="130" t="s">
        <v>284</v>
      </c>
      <c r="C64" s="14" t="s">
        <v>281</v>
      </c>
      <c r="D64" s="14" t="s">
        <v>65</v>
      </c>
      <c r="E64" s="17" t="s">
        <v>66</v>
      </c>
      <c r="F64" s="152">
        <v>500.0</v>
      </c>
      <c r="G64" s="135" t="s">
        <v>285</v>
      </c>
      <c r="H64" s="130"/>
      <c r="I64" s="157" t="s">
        <v>48</v>
      </c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8"/>
      <c r="U64" s="138"/>
      <c r="V64" s="138"/>
      <c r="W64" s="138"/>
      <c r="X64" s="138"/>
      <c r="Y64" s="138"/>
      <c r="Z64" s="138"/>
    </row>
    <row r="65" ht="15.75" customHeight="1">
      <c r="A65" s="82">
        <v>46191.0</v>
      </c>
      <c r="B65" s="130" t="s">
        <v>286</v>
      </c>
      <c r="C65" s="14" t="s">
        <v>281</v>
      </c>
      <c r="D65" s="14" t="s">
        <v>65</v>
      </c>
      <c r="E65" s="17" t="s">
        <v>66</v>
      </c>
      <c r="F65" s="152">
        <v>300.0</v>
      </c>
      <c r="G65" s="135" t="s">
        <v>287</v>
      </c>
      <c r="H65" s="130"/>
      <c r="I65" s="157" t="s">
        <v>48</v>
      </c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8"/>
      <c r="U65" s="138"/>
      <c r="V65" s="138"/>
      <c r="W65" s="138"/>
      <c r="X65" s="138"/>
      <c r="Y65" s="138"/>
      <c r="Z65" s="138"/>
    </row>
    <row r="66" ht="15.75" customHeight="1">
      <c r="A66" s="82">
        <v>46191.0</v>
      </c>
      <c r="B66" s="121" t="s">
        <v>288</v>
      </c>
      <c r="C66" s="121" t="s">
        <v>53</v>
      </c>
      <c r="D66" s="121" t="s">
        <v>206</v>
      </c>
      <c r="E66" s="150" t="s">
        <v>66</v>
      </c>
      <c r="F66" s="147">
        <v>7466.78</v>
      </c>
      <c r="G66" s="135" t="s">
        <v>289</v>
      </c>
      <c r="H66" s="130"/>
      <c r="I66" s="157" t="s">
        <v>48</v>
      </c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8"/>
      <c r="U66" s="138"/>
      <c r="V66" s="138"/>
      <c r="W66" s="138"/>
      <c r="X66" s="138"/>
      <c r="Y66" s="138"/>
      <c r="Z66" s="138"/>
    </row>
    <row r="67" ht="15.75" customHeight="1">
      <c r="A67" s="82">
        <v>46192.0</v>
      </c>
      <c r="B67" s="14" t="s">
        <v>290</v>
      </c>
      <c r="C67" s="14" t="s">
        <v>64</v>
      </c>
      <c r="D67" s="14" t="s">
        <v>65</v>
      </c>
      <c r="E67" s="17" t="s">
        <v>66</v>
      </c>
      <c r="F67" s="147">
        <v>1000.0</v>
      </c>
      <c r="G67" s="135" t="s">
        <v>292</v>
      </c>
      <c r="H67" s="130"/>
      <c r="I67" s="164" t="s">
        <v>48</v>
      </c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8"/>
      <c r="U67" s="138"/>
      <c r="V67" s="138"/>
      <c r="W67" s="138"/>
      <c r="X67" s="138"/>
      <c r="Y67" s="138"/>
      <c r="Z67" s="138"/>
    </row>
    <row r="68" ht="15.75" customHeight="1">
      <c r="A68" s="82">
        <v>46192.0</v>
      </c>
      <c r="B68" s="14" t="s">
        <v>293</v>
      </c>
      <c r="C68" s="14" t="s">
        <v>163</v>
      </c>
      <c r="D68" s="18" t="s">
        <v>206</v>
      </c>
      <c r="E68" s="17" t="s">
        <v>66</v>
      </c>
      <c r="F68" s="147">
        <v>500.0</v>
      </c>
      <c r="G68" s="135" t="s">
        <v>294</v>
      </c>
      <c r="H68" s="130"/>
      <c r="I68" s="164" t="s">
        <v>48</v>
      </c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8"/>
      <c r="U68" s="138"/>
      <c r="V68" s="138"/>
      <c r="W68" s="138"/>
      <c r="X68" s="138"/>
      <c r="Y68" s="138"/>
      <c r="Z68" s="138"/>
    </row>
    <row r="69" ht="15.75" customHeight="1">
      <c r="A69" s="82">
        <v>46192.0</v>
      </c>
      <c r="B69" s="14" t="s">
        <v>298</v>
      </c>
      <c r="C69" s="127" t="s">
        <v>220</v>
      </c>
      <c r="D69" s="18" t="s">
        <v>206</v>
      </c>
      <c r="E69" s="17" t="s">
        <v>66</v>
      </c>
      <c r="F69" s="147">
        <v>250.0</v>
      </c>
      <c r="G69" s="135" t="s">
        <v>300</v>
      </c>
      <c r="H69" s="130"/>
      <c r="I69" s="164" t="s">
        <v>48</v>
      </c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8"/>
      <c r="U69" s="138"/>
      <c r="V69" s="138"/>
      <c r="W69" s="138"/>
      <c r="X69" s="138"/>
      <c r="Y69" s="138"/>
      <c r="Z69" s="138"/>
    </row>
    <row r="70" ht="15.75" customHeight="1">
      <c r="A70" s="82">
        <v>46192.0</v>
      </c>
      <c r="B70" s="14" t="s">
        <v>304</v>
      </c>
      <c r="C70" s="14" t="s">
        <v>64</v>
      </c>
      <c r="D70" s="14" t="s">
        <v>65</v>
      </c>
      <c r="E70" s="17" t="s">
        <v>66</v>
      </c>
      <c r="F70" s="147">
        <v>1000.0</v>
      </c>
      <c r="G70" s="135" t="s">
        <v>305</v>
      </c>
      <c r="H70" s="130"/>
      <c r="I70" s="164" t="s">
        <v>48</v>
      </c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8"/>
      <c r="U70" s="138"/>
      <c r="V70" s="138"/>
      <c r="W70" s="138"/>
      <c r="X70" s="138"/>
      <c r="Y70" s="138"/>
      <c r="Z70" s="138"/>
    </row>
    <row r="71" ht="15.75" customHeight="1">
      <c r="A71" s="82">
        <v>46192.0</v>
      </c>
      <c r="B71" s="14" t="s">
        <v>307</v>
      </c>
      <c r="C71" s="14" t="s">
        <v>64</v>
      </c>
      <c r="D71" s="14" t="s">
        <v>65</v>
      </c>
      <c r="E71" s="17" t="s">
        <v>66</v>
      </c>
      <c r="F71" s="147">
        <v>1000.0</v>
      </c>
      <c r="G71" s="135" t="s">
        <v>308</v>
      </c>
      <c r="H71" s="130"/>
      <c r="I71" s="164" t="s">
        <v>48</v>
      </c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8"/>
      <c r="U71" s="138"/>
      <c r="V71" s="138"/>
      <c r="W71" s="138"/>
      <c r="X71" s="138"/>
      <c r="Y71" s="138"/>
      <c r="Z71" s="138"/>
    </row>
    <row r="72" ht="15.75" customHeight="1">
      <c r="A72" s="82">
        <v>46192.0</v>
      </c>
      <c r="B72" s="14" t="s">
        <v>310</v>
      </c>
      <c r="C72" s="14" t="s">
        <v>64</v>
      </c>
      <c r="D72" s="14" t="s">
        <v>65</v>
      </c>
      <c r="E72" s="17" t="s">
        <v>66</v>
      </c>
      <c r="F72" s="147">
        <v>1000.0</v>
      </c>
      <c r="G72" s="135" t="s">
        <v>312</v>
      </c>
      <c r="H72" s="130"/>
      <c r="I72" s="164" t="s">
        <v>48</v>
      </c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8"/>
      <c r="U72" s="138"/>
      <c r="V72" s="138"/>
      <c r="W72" s="138"/>
      <c r="X72" s="138"/>
      <c r="Y72" s="138"/>
      <c r="Z72" s="138"/>
    </row>
    <row r="73" ht="15.75" customHeight="1">
      <c r="A73" s="82">
        <v>46192.0</v>
      </c>
      <c r="B73" s="14" t="s">
        <v>315</v>
      </c>
      <c r="C73" s="14" t="s">
        <v>64</v>
      </c>
      <c r="D73" s="14" t="s">
        <v>65</v>
      </c>
      <c r="E73" s="17" t="s">
        <v>66</v>
      </c>
      <c r="F73" s="147">
        <v>1000.0</v>
      </c>
      <c r="G73" s="135" t="s">
        <v>316</v>
      </c>
      <c r="H73" s="130"/>
      <c r="I73" s="164" t="s">
        <v>48</v>
      </c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8"/>
      <c r="U73" s="138"/>
      <c r="V73" s="138"/>
      <c r="W73" s="138"/>
      <c r="X73" s="138"/>
      <c r="Y73" s="138"/>
      <c r="Z73" s="138"/>
    </row>
    <row r="74" ht="15.75" customHeight="1">
      <c r="A74" s="82">
        <v>46195.0</v>
      </c>
      <c r="B74" s="142" t="s">
        <v>319</v>
      </c>
      <c r="C74" s="179" t="s">
        <v>223</v>
      </c>
      <c r="D74" s="121" t="s">
        <v>206</v>
      </c>
      <c r="E74" s="17" t="s">
        <v>66</v>
      </c>
      <c r="F74" s="147">
        <v>250.0</v>
      </c>
      <c r="G74" s="135" t="s">
        <v>321</v>
      </c>
      <c r="H74" s="130"/>
      <c r="I74" s="164" t="s">
        <v>48</v>
      </c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8"/>
      <c r="U74" s="138"/>
      <c r="V74" s="138"/>
      <c r="W74" s="138"/>
      <c r="X74" s="138"/>
      <c r="Y74" s="138"/>
      <c r="Z74" s="138"/>
    </row>
    <row r="75" ht="15.75" customHeight="1">
      <c r="A75" s="82">
        <v>46195.0</v>
      </c>
      <c r="B75" s="14" t="s">
        <v>324</v>
      </c>
      <c r="C75" s="14" t="s">
        <v>101</v>
      </c>
      <c r="D75" s="14" t="s">
        <v>65</v>
      </c>
      <c r="E75" s="17" t="s">
        <v>66</v>
      </c>
      <c r="F75" s="147">
        <v>50.0</v>
      </c>
      <c r="G75" s="135" t="s">
        <v>326</v>
      </c>
      <c r="H75" s="130"/>
      <c r="I75" s="164" t="s">
        <v>48</v>
      </c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8"/>
      <c r="U75" s="138"/>
      <c r="V75" s="138"/>
      <c r="W75" s="138"/>
      <c r="X75" s="138"/>
      <c r="Y75" s="138"/>
      <c r="Z75" s="138"/>
    </row>
    <row r="76" ht="15.75" customHeight="1">
      <c r="A76" s="82">
        <v>46196.0</v>
      </c>
      <c r="B76" s="14" t="s">
        <v>329</v>
      </c>
      <c r="C76" s="14" t="s">
        <v>101</v>
      </c>
      <c r="D76" s="14" t="s">
        <v>65</v>
      </c>
      <c r="E76" s="17" t="s">
        <v>66</v>
      </c>
      <c r="F76" s="147">
        <v>500.0</v>
      </c>
      <c r="G76" s="135" t="s">
        <v>330</v>
      </c>
      <c r="H76" s="130"/>
      <c r="I76" s="164" t="s">
        <v>48</v>
      </c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8"/>
      <c r="U76" s="138"/>
      <c r="V76" s="138"/>
      <c r="W76" s="138"/>
      <c r="X76" s="138"/>
      <c r="Y76" s="138"/>
      <c r="Z76" s="138"/>
    </row>
    <row r="77" ht="15.75" customHeight="1">
      <c r="A77" s="82">
        <v>46196.0</v>
      </c>
      <c r="B77" s="14" t="s">
        <v>254</v>
      </c>
      <c r="C77" s="14" t="s">
        <v>101</v>
      </c>
      <c r="D77" s="14" t="s">
        <v>65</v>
      </c>
      <c r="E77" s="17" t="s">
        <v>66</v>
      </c>
      <c r="F77" s="147">
        <v>1000.0</v>
      </c>
      <c r="G77" s="135" t="s">
        <v>332</v>
      </c>
      <c r="H77" s="130"/>
      <c r="I77" s="164" t="s">
        <v>48</v>
      </c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8"/>
      <c r="U77" s="138"/>
      <c r="V77" s="138"/>
      <c r="W77" s="138"/>
      <c r="X77" s="138"/>
      <c r="Y77" s="138"/>
      <c r="Z77" s="138"/>
    </row>
    <row r="78" ht="15.75" customHeight="1">
      <c r="A78" s="82">
        <v>46202.0</v>
      </c>
      <c r="B78" s="14" t="s">
        <v>293</v>
      </c>
      <c r="C78" s="14" t="s">
        <v>163</v>
      </c>
      <c r="D78" s="18" t="s">
        <v>206</v>
      </c>
      <c r="E78" s="17" t="s">
        <v>66</v>
      </c>
      <c r="F78" s="147">
        <v>500.0</v>
      </c>
      <c r="G78" s="183" t="s">
        <v>334</v>
      </c>
      <c r="H78" s="130"/>
      <c r="I78" s="164" t="s">
        <v>48</v>
      </c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8"/>
      <c r="U78" s="138"/>
      <c r="V78" s="138"/>
      <c r="W78" s="138"/>
      <c r="X78" s="138"/>
      <c r="Y78" s="138"/>
      <c r="Z78" s="138"/>
    </row>
    <row r="79" ht="15.75" customHeight="1">
      <c r="A79" s="82">
        <v>46202.0</v>
      </c>
      <c r="B79" s="14" t="s">
        <v>337</v>
      </c>
      <c r="C79" s="14" t="s">
        <v>338</v>
      </c>
      <c r="D79" s="18" t="s">
        <v>206</v>
      </c>
      <c r="E79" s="17" t="s">
        <v>66</v>
      </c>
      <c r="F79" s="147">
        <v>689.0</v>
      </c>
      <c r="G79" s="135" t="s">
        <v>339</v>
      </c>
      <c r="H79" s="130"/>
      <c r="I79" s="164" t="s">
        <v>48</v>
      </c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8"/>
      <c r="U79" s="138"/>
      <c r="V79" s="138"/>
      <c r="W79" s="138"/>
      <c r="X79" s="138"/>
      <c r="Y79" s="138"/>
      <c r="Z79" s="138"/>
    </row>
    <row r="80" ht="15.75" customHeight="1">
      <c r="A80" s="82">
        <v>46202.0</v>
      </c>
      <c r="B80" s="14" t="s">
        <v>341</v>
      </c>
      <c r="C80" s="14" t="s">
        <v>53</v>
      </c>
      <c r="D80" s="18" t="s">
        <v>206</v>
      </c>
      <c r="E80" s="17" t="s">
        <v>66</v>
      </c>
      <c r="F80" s="184">
        <v>6752.9</v>
      </c>
      <c r="G80" s="135" t="s">
        <v>342</v>
      </c>
      <c r="H80" s="130"/>
      <c r="I80" s="164" t="s">
        <v>48</v>
      </c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8"/>
      <c r="U80" s="138"/>
      <c r="V80" s="138"/>
      <c r="W80" s="138"/>
      <c r="X80" s="138"/>
      <c r="Y80" s="138"/>
      <c r="Z80" s="138"/>
    </row>
    <row r="81" ht="15.75" customHeight="1">
      <c r="A81" s="82">
        <v>46202.0</v>
      </c>
      <c r="B81" s="14" t="s">
        <v>345</v>
      </c>
      <c r="C81" s="14" t="s">
        <v>64</v>
      </c>
      <c r="D81" s="14" t="s">
        <v>65</v>
      </c>
      <c r="E81" s="17" t="s">
        <v>66</v>
      </c>
      <c r="F81" s="147">
        <v>1000.0</v>
      </c>
      <c r="G81" s="135" t="s">
        <v>346</v>
      </c>
      <c r="H81" s="130"/>
      <c r="I81" s="164" t="s">
        <v>48</v>
      </c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8"/>
      <c r="U81" s="138"/>
      <c r="V81" s="138"/>
      <c r="W81" s="138"/>
      <c r="X81" s="138"/>
      <c r="Y81" s="138"/>
      <c r="Z81" s="138"/>
    </row>
    <row r="82" ht="15.75" customHeight="1">
      <c r="A82" s="82">
        <v>46203.0</v>
      </c>
      <c r="B82" s="14" t="s">
        <v>348</v>
      </c>
      <c r="C82" s="14" t="s">
        <v>64</v>
      </c>
      <c r="D82" s="14" t="s">
        <v>65</v>
      </c>
      <c r="E82" s="17" t="s">
        <v>66</v>
      </c>
      <c r="F82" s="147">
        <v>400.0</v>
      </c>
      <c r="G82" s="135" t="s">
        <v>350</v>
      </c>
      <c r="H82" s="130"/>
      <c r="I82" s="164" t="s">
        <v>48</v>
      </c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8"/>
      <c r="U82" s="138"/>
      <c r="V82" s="138"/>
      <c r="W82" s="138"/>
      <c r="X82" s="138"/>
      <c r="Y82" s="138"/>
      <c r="Z82" s="138"/>
    </row>
    <row r="83" ht="15.75" customHeight="1">
      <c r="A83" s="82">
        <v>46203.0</v>
      </c>
      <c r="B83" s="9" t="s">
        <v>353</v>
      </c>
      <c r="C83" s="14" t="s">
        <v>64</v>
      </c>
      <c r="D83" s="14" t="s">
        <v>65</v>
      </c>
      <c r="E83" s="17" t="s">
        <v>66</v>
      </c>
      <c r="F83" s="147">
        <v>300.0</v>
      </c>
      <c r="G83" s="135" t="s">
        <v>354</v>
      </c>
      <c r="H83" s="130"/>
      <c r="I83" s="164" t="s">
        <v>48</v>
      </c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8"/>
      <c r="U83" s="138"/>
      <c r="V83" s="138"/>
      <c r="W83" s="138"/>
      <c r="X83" s="138"/>
      <c r="Y83" s="138"/>
      <c r="Z83" s="138"/>
    </row>
    <row r="84" ht="15.75" customHeight="1">
      <c r="A84" s="82">
        <v>46203.0</v>
      </c>
      <c r="B84" s="14" t="s">
        <v>356</v>
      </c>
      <c r="C84" s="14" t="s">
        <v>64</v>
      </c>
      <c r="D84" s="14" t="s">
        <v>65</v>
      </c>
      <c r="E84" s="17" t="s">
        <v>66</v>
      </c>
      <c r="F84" s="147">
        <v>400.0</v>
      </c>
      <c r="G84" s="135" t="s">
        <v>357</v>
      </c>
      <c r="H84" s="130"/>
      <c r="I84" s="164" t="s">
        <v>48</v>
      </c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8"/>
      <c r="U84" s="138"/>
      <c r="V84" s="138"/>
      <c r="W84" s="138"/>
      <c r="X84" s="138"/>
      <c r="Y84" s="138"/>
      <c r="Z84" s="138"/>
    </row>
    <row r="85" ht="15.75" customHeight="1">
      <c r="A85" s="82">
        <v>46203.0</v>
      </c>
      <c r="B85" s="14" t="s">
        <v>254</v>
      </c>
      <c r="C85" s="14" t="s">
        <v>64</v>
      </c>
      <c r="D85" s="14" t="s">
        <v>65</v>
      </c>
      <c r="E85" s="17" t="s">
        <v>66</v>
      </c>
      <c r="F85" s="147">
        <v>1000.0</v>
      </c>
      <c r="G85" s="135" t="s">
        <v>360</v>
      </c>
      <c r="H85" s="130"/>
      <c r="I85" s="164" t="s">
        <v>48</v>
      </c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8"/>
      <c r="U85" s="138"/>
      <c r="V85" s="138"/>
      <c r="W85" s="138"/>
      <c r="X85" s="138"/>
      <c r="Y85" s="138"/>
      <c r="Z85" s="138"/>
    </row>
    <row r="86" ht="15.75" customHeight="1">
      <c r="A86" s="82">
        <v>46203.0</v>
      </c>
      <c r="B86" s="14" t="s">
        <v>363</v>
      </c>
      <c r="C86" s="14" t="s">
        <v>64</v>
      </c>
      <c r="D86" s="14" t="s">
        <v>65</v>
      </c>
      <c r="E86" s="17" t="s">
        <v>66</v>
      </c>
      <c r="F86" s="147">
        <v>300.0</v>
      </c>
      <c r="G86" s="135" t="s">
        <v>364</v>
      </c>
      <c r="H86" s="130"/>
      <c r="I86" s="164" t="s">
        <v>48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8"/>
      <c r="U86" s="138"/>
      <c r="V86" s="138"/>
      <c r="W86" s="138"/>
      <c r="X86" s="138"/>
      <c r="Y86" s="138"/>
      <c r="Z86" s="138"/>
    </row>
    <row r="87" ht="15.75" customHeight="1">
      <c r="A87" s="82">
        <v>46204.0</v>
      </c>
      <c r="B87" s="14" t="s">
        <v>365</v>
      </c>
      <c r="C87" s="14" t="s">
        <v>53</v>
      </c>
      <c r="D87" s="14" t="s">
        <v>206</v>
      </c>
      <c r="E87" s="17" t="s">
        <v>66</v>
      </c>
      <c r="F87" s="147">
        <v>1492.05</v>
      </c>
      <c r="G87" s="135" t="s">
        <v>366</v>
      </c>
      <c r="H87" s="130"/>
      <c r="I87" s="164" t="s">
        <v>48</v>
      </c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8"/>
      <c r="U87" s="138"/>
      <c r="V87" s="138"/>
      <c r="W87" s="138"/>
      <c r="X87" s="138"/>
      <c r="Y87" s="138"/>
      <c r="Z87" s="138"/>
    </row>
    <row r="88" ht="15.75" customHeight="1">
      <c r="A88" s="82">
        <v>46204.0</v>
      </c>
      <c r="B88" s="14" t="s">
        <v>368</v>
      </c>
      <c r="C88" s="14" t="s">
        <v>338</v>
      </c>
      <c r="D88" s="14" t="s">
        <v>369</v>
      </c>
      <c r="E88" s="17" t="s">
        <v>66</v>
      </c>
      <c r="F88" s="147">
        <v>100.0</v>
      </c>
      <c r="G88" s="135" t="s">
        <v>370</v>
      </c>
      <c r="H88" s="130"/>
      <c r="I88" s="164" t="s">
        <v>48</v>
      </c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8"/>
      <c r="U88" s="138"/>
      <c r="V88" s="138"/>
      <c r="W88" s="138"/>
      <c r="X88" s="138"/>
      <c r="Y88" s="138"/>
      <c r="Z88" s="138"/>
    </row>
    <row r="89" ht="15.75" customHeight="1">
      <c r="A89" s="82">
        <v>46204.0</v>
      </c>
      <c r="B89" s="14" t="s">
        <v>293</v>
      </c>
      <c r="C89" s="14" t="s">
        <v>163</v>
      </c>
      <c r="D89" s="14" t="s">
        <v>65</v>
      </c>
      <c r="E89" s="17" t="s">
        <v>66</v>
      </c>
      <c r="F89" s="147">
        <v>500.0</v>
      </c>
      <c r="G89" s="135" t="s">
        <v>371</v>
      </c>
      <c r="H89" s="130"/>
      <c r="I89" s="164" t="s">
        <v>48</v>
      </c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8"/>
      <c r="U89" s="138"/>
      <c r="V89" s="138"/>
      <c r="W89" s="138"/>
      <c r="X89" s="138"/>
      <c r="Y89" s="138"/>
      <c r="Z89" s="138"/>
    </row>
    <row r="90" ht="15.75" customHeight="1">
      <c r="A90" s="82">
        <v>46204.0</v>
      </c>
      <c r="B90" s="14" t="s">
        <v>341</v>
      </c>
      <c r="C90" s="14" t="s">
        <v>53</v>
      </c>
      <c r="D90" s="14" t="s">
        <v>65</v>
      </c>
      <c r="E90" s="17" t="s">
        <v>66</v>
      </c>
      <c r="F90" s="147">
        <v>13675.72</v>
      </c>
      <c r="G90" s="135" t="s">
        <v>373</v>
      </c>
      <c r="H90" s="130"/>
      <c r="I90" s="164" t="s">
        <v>48</v>
      </c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8"/>
      <c r="U90" s="138"/>
      <c r="V90" s="138"/>
      <c r="W90" s="138"/>
      <c r="X90" s="138"/>
      <c r="Y90" s="138"/>
      <c r="Z90" s="138"/>
    </row>
    <row r="91" ht="15.75" customHeight="1">
      <c r="A91" s="82">
        <v>46205.0</v>
      </c>
      <c r="B91" s="14" t="s">
        <v>374</v>
      </c>
      <c r="C91" s="14" t="s">
        <v>53</v>
      </c>
      <c r="D91" s="14" t="s">
        <v>65</v>
      </c>
      <c r="E91" s="17" t="s">
        <v>66</v>
      </c>
      <c r="F91" s="147">
        <v>1500.0</v>
      </c>
      <c r="G91" s="135" t="s">
        <v>375</v>
      </c>
      <c r="H91" s="130"/>
      <c r="I91" s="164" t="s">
        <v>48</v>
      </c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6"/>
      <c r="U91" s="196"/>
      <c r="V91" s="196"/>
      <c r="W91" s="196"/>
      <c r="X91" s="196"/>
      <c r="Y91" s="196"/>
      <c r="Z91" s="196"/>
    </row>
    <row r="92" ht="15.75" customHeight="1">
      <c r="A92" s="82">
        <v>46210.0</v>
      </c>
      <c r="B92" s="14" t="s">
        <v>376</v>
      </c>
      <c r="C92" s="14" t="s">
        <v>262</v>
      </c>
      <c r="D92" s="14" t="s">
        <v>263</v>
      </c>
      <c r="E92" s="17" t="s">
        <v>66</v>
      </c>
      <c r="F92" s="147">
        <v>6331.53</v>
      </c>
      <c r="G92" s="135" t="s">
        <v>377</v>
      </c>
      <c r="H92" s="130"/>
      <c r="I92" s="164" t="s">
        <v>48</v>
      </c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6"/>
      <c r="U92" s="196"/>
      <c r="V92" s="196"/>
      <c r="W92" s="196"/>
      <c r="X92" s="196"/>
      <c r="Y92" s="196"/>
      <c r="Z92" s="196"/>
    </row>
    <row r="93" ht="15.75" customHeight="1">
      <c r="A93" s="82">
        <v>46216.0</v>
      </c>
      <c r="B93" s="14" t="s">
        <v>254</v>
      </c>
      <c r="C93" s="14" t="s">
        <v>64</v>
      </c>
      <c r="D93" s="14" t="s">
        <v>65</v>
      </c>
      <c r="E93" s="17" t="s">
        <v>66</v>
      </c>
      <c r="F93" s="147">
        <v>1000.0</v>
      </c>
      <c r="G93" s="135" t="s">
        <v>378</v>
      </c>
      <c r="H93" s="130"/>
      <c r="I93" s="164" t="s">
        <v>48</v>
      </c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6"/>
      <c r="U93" s="196"/>
      <c r="V93" s="196"/>
      <c r="W93" s="196"/>
      <c r="X93" s="196"/>
      <c r="Y93" s="196"/>
      <c r="Z93" s="196"/>
    </row>
    <row r="94" ht="15.75" customHeight="1">
      <c r="A94" s="82">
        <v>46216.0</v>
      </c>
      <c r="B94" s="14" t="s">
        <v>241</v>
      </c>
      <c r="C94" s="14" t="s">
        <v>64</v>
      </c>
      <c r="D94" s="14" t="s">
        <v>65</v>
      </c>
      <c r="E94" s="17" t="s">
        <v>66</v>
      </c>
      <c r="F94" s="147">
        <v>500.0</v>
      </c>
      <c r="G94" s="135" t="s">
        <v>379</v>
      </c>
      <c r="H94" s="130"/>
      <c r="I94" s="164" t="s">
        <v>48</v>
      </c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6"/>
      <c r="U94" s="196"/>
      <c r="V94" s="196"/>
      <c r="W94" s="196"/>
      <c r="X94" s="196"/>
      <c r="Y94" s="196"/>
      <c r="Z94" s="196"/>
    </row>
    <row r="95" ht="15.75" customHeight="1">
      <c r="A95" s="82">
        <v>46216.0</v>
      </c>
      <c r="B95" s="14" t="s">
        <v>243</v>
      </c>
      <c r="C95" s="14" t="s">
        <v>64</v>
      </c>
      <c r="D95" s="14" t="s">
        <v>65</v>
      </c>
      <c r="E95" s="17" t="s">
        <v>66</v>
      </c>
      <c r="F95" s="147">
        <v>400.0</v>
      </c>
      <c r="G95" s="135" t="s">
        <v>381</v>
      </c>
      <c r="H95" s="130"/>
      <c r="I95" s="164" t="s">
        <v>48</v>
      </c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6"/>
      <c r="U95" s="196"/>
      <c r="V95" s="196"/>
      <c r="W95" s="196"/>
      <c r="X95" s="196"/>
      <c r="Y95" s="196"/>
      <c r="Z95" s="196"/>
    </row>
    <row r="96" ht="15.75" customHeight="1">
      <c r="A96" s="82">
        <v>46216.0</v>
      </c>
      <c r="B96" s="14" t="s">
        <v>382</v>
      </c>
      <c r="C96" s="14" t="s">
        <v>64</v>
      </c>
      <c r="D96" s="14" t="s">
        <v>65</v>
      </c>
      <c r="E96" s="17" t="s">
        <v>66</v>
      </c>
      <c r="F96" s="147">
        <v>400.0</v>
      </c>
      <c r="G96" s="135" t="s">
        <v>383</v>
      </c>
      <c r="H96" s="130"/>
      <c r="I96" s="164" t="s">
        <v>48</v>
      </c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6"/>
      <c r="U96" s="196"/>
      <c r="V96" s="196"/>
      <c r="W96" s="196"/>
      <c r="X96" s="196"/>
      <c r="Y96" s="196"/>
      <c r="Z96" s="196"/>
    </row>
    <row r="97" ht="15.75" customHeight="1">
      <c r="A97" s="198">
        <v>46217.0</v>
      </c>
      <c r="B97" s="199" t="s">
        <v>384</v>
      </c>
      <c r="C97" s="199" t="s">
        <v>163</v>
      </c>
      <c r="D97" s="199" t="s">
        <v>268</v>
      </c>
      <c r="E97" s="200" t="s">
        <v>66</v>
      </c>
      <c r="F97" s="147">
        <v>1250.0</v>
      </c>
      <c r="G97" s="201" t="s">
        <v>385</v>
      </c>
      <c r="H97" s="202"/>
      <c r="I97" s="164" t="s">
        <v>48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9"/>
      <c r="U97" s="9"/>
      <c r="V97" s="9"/>
      <c r="W97" s="9"/>
      <c r="X97" s="9"/>
      <c r="Y97" s="9"/>
      <c r="Z97" s="9"/>
    </row>
    <row r="98" ht="15.75" customHeight="1">
      <c r="A98" s="82">
        <v>46217.0</v>
      </c>
      <c r="B98" s="14" t="s">
        <v>341</v>
      </c>
      <c r="C98" s="14" t="s">
        <v>53</v>
      </c>
      <c r="D98" s="14" t="s">
        <v>206</v>
      </c>
      <c r="E98" s="17" t="s">
        <v>66</v>
      </c>
      <c r="F98" s="147">
        <v>15163.36</v>
      </c>
      <c r="G98" s="135" t="s">
        <v>387</v>
      </c>
      <c r="H98" s="130"/>
      <c r="I98" s="164" t="s">
        <v>48</v>
      </c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6"/>
      <c r="U98" s="196"/>
      <c r="V98" s="196"/>
      <c r="W98" s="196"/>
      <c r="X98" s="196"/>
      <c r="Y98" s="196"/>
      <c r="Z98" s="196"/>
    </row>
    <row r="99" ht="15.75" customHeight="1">
      <c r="A99" s="82">
        <v>46223.0</v>
      </c>
      <c r="B99" s="14" t="s">
        <v>341</v>
      </c>
      <c r="C99" s="14" t="s">
        <v>53</v>
      </c>
      <c r="D99" s="14" t="s">
        <v>206</v>
      </c>
      <c r="E99" s="17" t="s">
        <v>66</v>
      </c>
      <c r="F99" s="147">
        <v>12977.11</v>
      </c>
      <c r="G99" s="135" t="s">
        <v>392</v>
      </c>
      <c r="H99" s="130"/>
      <c r="I99" s="164" t="s">
        <v>48</v>
      </c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6"/>
      <c r="U99" s="196"/>
      <c r="V99" s="196"/>
      <c r="W99" s="196"/>
      <c r="X99" s="196"/>
      <c r="Y99" s="196"/>
      <c r="Z99" s="196"/>
    </row>
    <row r="100" ht="15.75" customHeight="1">
      <c r="A100" s="82">
        <v>46223.0</v>
      </c>
      <c r="B100" s="14" t="s">
        <v>293</v>
      </c>
      <c r="C100" s="14" t="s">
        <v>163</v>
      </c>
      <c r="D100" s="14" t="s">
        <v>65</v>
      </c>
      <c r="E100" s="17" t="s">
        <v>66</v>
      </c>
      <c r="F100" s="147">
        <v>500.0</v>
      </c>
      <c r="G100" s="135" t="s">
        <v>396</v>
      </c>
      <c r="H100" s="130"/>
      <c r="I100" s="164" t="s">
        <v>48</v>
      </c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6"/>
      <c r="U100" s="196"/>
      <c r="V100" s="196"/>
      <c r="W100" s="196"/>
      <c r="X100" s="196"/>
      <c r="Y100" s="196"/>
      <c r="Z100" s="196"/>
    </row>
    <row r="101" ht="15.75" customHeight="1">
      <c r="A101" s="82">
        <v>46223.0</v>
      </c>
      <c r="B101" s="14" t="s">
        <v>400</v>
      </c>
      <c r="C101" s="14" t="s">
        <v>401</v>
      </c>
      <c r="D101" s="14" t="s">
        <v>263</v>
      </c>
      <c r="E101" s="17" t="s">
        <v>66</v>
      </c>
      <c r="F101" s="147">
        <v>1500.0</v>
      </c>
      <c r="G101" s="135" t="s">
        <v>402</v>
      </c>
      <c r="H101" s="130"/>
      <c r="I101" s="164" t="s">
        <v>48</v>
      </c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6"/>
      <c r="U101" s="196"/>
      <c r="V101" s="196"/>
      <c r="W101" s="196"/>
      <c r="X101" s="196"/>
      <c r="Y101" s="196"/>
      <c r="Z101" s="196"/>
    </row>
    <row r="102" ht="15.75" customHeight="1">
      <c r="A102" s="82">
        <v>46223.0</v>
      </c>
      <c r="B102" s="14" t="s">
        <v>341</v>
      </c>
      <c r="C102" s="14" t="s">
        <v>53</v>
      </c>
      <c r="D102" s="14" t="s">
        <v>206</v>
      </c>
      <c r="E102" s="17" t="s">
        <v>66</v>
      </c>
      <c r="F102" s="147">
        <v>4371.37</v>
      </c>
      <c r="G102" s="135" t="s">
        <v>405</v>
      </c>
      <c r="H102" s="130"/>
      <c r="I102" s="164" t="s">
        <v>48</v>
      </c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6"/>
      <c r="U102" s="196"/>
      <c r="V102" s="196"/>
      <c r="W102" s="196"/>
      <c r="X102" s="196"/>
      <c r="Y102" s="196"/>
      <c r="Z102" s="196"/>
    </row>
    <row r="103" ht="15.75" customHeight="1">
      <c r="A103" s="82">
        <v>46223.0</v>
      </c>
      <c r="B103" s="14" t="s">
        <v>293</v>
      </c>
      <c r="C103" s="14" t="s">
        <v>163</v>
      </c>
      <c r="D103" s="14" t="s">
        <v>65</v>
      </c>
      <c r="E103" s="17" t="s">
        <v>66</v>
      </c>
      <c r="F103" s="147">
        <v>500.0</v>
      </c>
      <c r="G103" s="135" t="s">
        <v>407</v>
      </c>
      <c r="H103" s="130"/>
      <c r="I103" s="164" t="s">
        <v>48</v>
      </c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6"/>
      <c r="U103" s="196"/>
      <c r="V103" s="196"/>
      <c r="W103" s="196"/>
      <c r="X103" s="196"/>
      <c r="Y103" s="196"/>
      <c r="Z103" s="196"/>
    </row>
    <row r="104" ht="15.75" customHeight="1">
      <c r="A104" s="82">
        <v>46223.0</v>
      </c>
      <c r="B104" s="14" t="s">
        <v>256</v>
      </c>
      <c r="C104" s="14" t="s">
        <v>410</v>
      </c>
      <c r="D104" s="14" t="s">
        <v>258</v>
      </c>
      <c r="E104" s="17" t="s">
        <v>66</v>
      </c>
      <c r="F104" s="147">
        <v>300.0</v>
      </c>
      <c r="G104" s="135" t="s">
        <v>411</v>
      </c>
      <c r="H104" s="130"/>
      <c r="I104" s="164" t="s">
        <v>48</v>
      </c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6"/>
      <c r="U104" s="196"/>
      <c r="V104" s="196"/>
      <c r="W104" s="196"/>
      <c r="X104" s="196"/>
      <c r="Y104" s="196"/>
      <c r="Z104" s="196"/>
    </row>
    <row r="105" ht="15.75" customHeight="1">
      <c r="A105" s="82">
        <v>46223.0</v>
      </c>
      <c r="B105" s="14" t="s">
        <v>415</v>
      </c>
      <c r="C105" s="14" t="s">
        <v>64</v>
      </c>
      <c r="D105" s="14" t="s">
        <v>65</v>
      </c>
      <c r="E105" s="17" t="s">
        <v>66</v>
      </c>
      <c r="F105" s="147">
        <v>2000.0</v>
      </c>
      <c r="G105" s="135" t="s">
        <v>416</v>
      </c>
      <c r="H105" s="130"/>
      <c r="I105" s="164" t="s">
        <v>48</v>
      </c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6"/>
      <c r="U105" s="196"/>
      <c r="V105" s="196"/>
      <c r="W105" s="196"/>
      <c r="X105" s="196"/>
      <c r="Y105" s="196"/>
      <c r="Z105" s="196"/>
    </row>
    <row r="106" ht="15.75" customHeight="1">
      <c r="A106" s="82">
        <v>46223.0</v>
      </c>
      <c r="B106" s="14" t="s">
        <v>418</v>
      </c>
      <c r="C106" s="14" t="s">
        <v>64</v>
      </c>
      <c r="D106" s="14" t="s">
        <v>65</v>
      </c>
      <c r="E106" s="17" t="s">
        <v>66</v>
      </c>
      <c r="F106" s="147">
        <v>1500.0</v>
      </c>
      <c r="G106" s="135" t="s">
        <v>419</v>
      </c>
      <c r="H106" s="130"/>
      <c r="I106" s="164" t="s">
        <v>48</v>
      </c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6"/>
      <c r="U106" s="196"/>
      <c r="V106" s="196"/>
      <c r="W106" s="196"/>
      <c r="X106" s="196"/>
      <c r="Y106" s="196"/>
      <c r="Z106" s="196"/>
    </row>
    <row r="107" ht="15.75" customHeight="1">
      <c r="A107" s="82">
        <v>46223.0</v>
      </c>
      <c r="B107" s="14" t="s">
        <v>229</v>
      </c>
      <c r="C107" s="14" t="s">
        <v>101</v>
      </c>
      <c r="D107" s="14" t="s">
        <v>65</v>
      </c>
      <c r="E107" s="17" t="s">
        <v>66</v>
      </c>
      <c r="F107" s="147">
        <v>1000.0</v>
      </c>
      <c r="G107" s="135" t="s">
        <v>422</v>
      </c>
      <c r="H107" s="130"/>
      <c r="I107" s="164" t="s">
        <v>48</v>
      </c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6"/>
      <c r="U107" s="196"/>
      <c r="V107" s="196"/>
      <c r="W107" s="196"/>
      <c r="X107" s="196"/>
      <c r="Y107" s="196"/>
      <c r="Z107" s="196"/>
    </row>
    <row r="108" ht="15.75" customHeight="1">
      <c r="A108" s="82">
        <v>46223.0</v>
      </c>
      <c r="B108" s="14" t="s">
        <v>424</v>
      </c>
      <c r="C108" s="14" t="s">
        <v>101</v>
      </c>
      <c r="D108" s="14" t="s">
        <v>65</v>
      </c>
      <c r="E108" s="17" t="s">
        <v>66</v>
      </c>
      <c r="F108" s="147">
        <v>300.0</v>
      </c>
      <c r="G108" s="135" t="s">
        <v>425</v>
      </c>
      <c r="H108" s="130"/>
      <c r="I108" s="164" t="s">
        <v>48</v>
      </c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6"/>
      <c r="U108" s="196"/>
      <c r="V108" s="196"/>
      <c r="W108" s="196"/>
      <c r="X108" s="196"/>
      <c r="Y108" s="196"/>
      <c r="Z108" s="196"/>
    </row>
    <row r="109" ht="35.25" customHeight="1">
      <c r="A109" s="82">
        <v>46223.0</v>
      </c>
      <c r="B109" s="14" t="s">
        <v>427</v>
      </c>
      <c r="C109" s="14" t="s">
        <v>101</v>
      </c>
      <c r="D109" s="14" t="s">
        <v>65</v>
      </c>
      <c r="E109" s="17" t="s">
        <v>66</v>
      </c>
      <c r="F109" s="147">
        <v>400.0</v>
      </c>
      <c r="G109" s="135" t="s">
        <v>430</v>
      </c>
      <c r="H109" s="130"/>
      <c r="I109" s="164" t="s">
        <v>48</v>
      </c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6"/>
      <c r="U109" s="196"/>
      <c r="V109" s="196"/>
      <c r="W109" s="196"/>
      <c r="X109" s="196"/>
      <c r="Y109" s="196"/>
      <c r="Z109" s="196"/>
    </row>
    <row r="110" ht="35.25" customHeight="1">
      <c r="A110" s="82">
        <v>46231.0</v>
      </c>
      <c r="B110" s="14" t="s">
        <v>432</v>
      </c>
      <c r="C110" s="14" t="s">
        <v>53</v>
      </c>
      <c r="D110" s="14" t="s">
        <v>65</v>
      </c>
      <c r="E110" s="17" t="s">
        <v>66</v>
      </c>
      <c r="F110" s="147">
        <v>275.9</v>
      </c>
      <c r="G110" s="135" t="s">
        <v>433</v>
      </c>
      <c r="H110" s="130"/>
      <c r="I110" s="164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6"/>
      <c r="U110" s="196"/>
      <c r="V110" s="196"/>
      <c r="W110" s="196"/>
      <c r="X110" s="196"/>
      <c r="Y110" s="196"/>
      <c r="Z110" s="196"/>
    </row>
    <row r="111" ht="35.25" customHeight="1">
      <c r="A111" s="82">
        <v>46232.0</v>
      </c>
      <c r="B111" s="14" t="s">
        <v>435</v>
      </c>
      <c r="C111" s="14" t="s">
        <v>101</v>
      </c>
      <c r="D111" s="14" t="s">
        <v>65</v>
      </c>
      <c r="E111" s="17" t="s">
        <v>66</v>
      </c>
      <c r="F111" s="147">
        <v>500.0</v>
      </c>
      <c r="G111" s="135" t="s">
        <v>436</v>
      </c>
      <c r="H111" s="130"/>
      <c r="I111" s="164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6"/>
      <c r="U111" s="196"/>
      <c r="V111" s="196"/>
      <c r="W111" s="196"/>
      <c r="X111" s="196"/>
      <c r="Y111" s="196"/>
      <c r="Z111" s="196"/>
    </row>
    <row r="112" ht="35.25" customHeight="1">
      <c r="A112" s="82">
        <v>46232.0</v>
      </c>
      <c r="B112" s="14" t="s">
        <v>438</v>
      </c>
      <c r="C112" s="14" t="s">
        <v>64</v>
      </c>
      <c r="D112" s="14" t="s">
        <v>65</v>
      </c>
      <c r="E112" s="17" t="s">
        <v>66</v>
      </c>
      <c r="F112" s="147">
        <v>2000.0</v>
      </c>
      <c r="G112" s="135" t="s">
        <v>439</v>
      </c>
      <c r="H112" s="130"/>
      <c r="I112" s="164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6"/>
      <c r="U112" s="196"/>
      <c r="V112" s="196"/>
      <c r="W112" s="196"/>
      <c r="X112" s="196"/>
      <c r="Y112" s="196"/>
      <c r="Z112" s="196"/>
    </row>
    <row r="113" ht="35.25" customHeight="1">
      <c r="A113" s="82">
        <v>46232.0</v>
      </c>
      <c r="B113" s="14" t="s">
        <v>440</v>
      </c>
      <c r="C113" s="14" t="s">
        <v>64</v>
      </c>
      <c r="D113" s="14" t="s">
        <v>65</v>
      </c>
      <c r="E113" s="17" t="s">
        <v>66</v>
      </c>
      <c r="F113" s="147">
        <v>1000.0</v>
      </c>
      <c r="G113" s="135" t="s">
        <v>441</v>
      </c>
      <c r="H113" s="130"/>
      <c r="I113" s="164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6"/>
      <c r="U113" s="196"/>
      <c r="V113" s="196"/>
      <c r="W113" s="196"/>
      <c r="X113" s="196"/>
      <c r="Y113" s="196"/>
      <c r="Z113" s="196"/>
    </row>
    <row r="114" ht="35.25" customHeight="1">
      <c r="A114" s="82">
        <v>46232.0</v>
      </c>
      <c r="B114" s="14" t="s">
        <v>444</v>
      </c>
      <c r="C114" s="14" t="s">
        <v>64</v>
      </c>
      <c r="D114" s="14" t="s">
        <v>65</v>
      </c>
      <c r="E114" s="17" t="s">
        <v>66</v>
      </c>
      <c r="F114" s="147">
        <v>2000.0</v>
      </c>
      <c r="G114" s="135" t="s">
        <v>445</v>
      </c>
      <c r="H114" s="130"/>
      <c r="I114" s="164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6"/>
      <c r="U114" s="196"/>
      <c r="V114" s="196"/>
      <c r="W114" s="196"/>
      <c r="X114" s="196"/>
      <c r="Y114" s="196"/>
      <c r="Z114" s="196"/>
    </row>
    <row r="115" ht="35.25" customHeight="1">
      <c r="A115" s="82">
        <v>46232.0</v>
      </c>
      <c r="B115" s="14" t="s">
        <v>446</v>
      </c>
      <c r="C115" s="14" t="s">
        <v>64</v>
      </c>
      <c r="D115" s="14" t="s">
        <v>65</v>
      </c>
      <c r="E115" s="17" t="s">
        <v>66</v>
      </c>
      <c r="F115" s="147">
        <v>1000.0</v>
      </c>
      <c r="G115" s="135" t="s">
        <v>447</v>
      </c>
      <c r="H115" s="130"/>
      <c r="I115" s="164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6"/>
      <c r="U115" s="196"/>
      <c r="V115" s="196"/>
      <c r="W115" s="196"/>
      <c r="X115" s="196"/>
      <c r="Y115" s="196"/>
      <c r="Z115" s="196"/>
    </row>
    <row r="116" ht="35.25" customHeight="1">
      <c r="A116" s="82">
        <v>46232.0</v>
      </c>
      <c r="B116" s="14" t="s">
        <v>449</v>
      </c>
      <c r="C116" s="14" t="s">
        <v>101</v>
      </c>
      <c r="D116" s="14" t="s">
        <v>65</v>
      </c>
      <c r="E116" s="17" t="s">
        <v>66</v>
      </c>
      <c r="F116" s="147">
        <v>2000.0</v>
      </c>
      <c r="G116" s="135" t="s">
        <v>450</v>
      </c>
      <c r="H116" s="130"/>
      <c r="I116" s="164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6"/>
      <c r="U116" s="196"/>
      <c r="V116" s="196"/>
      <c r="W116" s="196"/>
      <c r="X116" s="196"/>
      <c r="Y116" s="196"/>
      <c r="Z116" s="196"/>
    </row>
    <row r="117" ht="35.25" customHeight="1">
      <c r="A117" s="82">
        <v>46232.0</v>
      </c>
      <c r="B117" s="14" t="s">
        <v>452</v>
      </c>
      <c r="C117" s="14" t="s">
        <v>101</v>
      </c>
      <c r="D117" s="14" t="s">
        <v>65</v>
      </c>
      <c r="E117" s="17" t="s">
        <v>66</v>
      </c>
      <c r="F117" s="147">
        <v>1000.0</v>
      </c>
      <c r="G117" s="135" t="s">
        <v>453</v>
      </c>
      <c r="H117" s="130"/>
      <c r="I117" s="164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6"/>
      <c r="U117" s="196"/>
      <c r="V117" s="196"/>
      <c r="W117" s="196"/>
      <c r="X117" s="196"/>
      <c r="Y117" s="196"/>
      <c r="Z117" s="196"/>
    </row>
    <row r="118" ht="27.0" customHeight="1">
      <c r="A118" s="214" t="s">
        <v>148</v>
      </c>
      <c r="B118" s="215"/>
      <c r="C118" s="215"/>
      <c r="D118" s="215"/>
      <c r="E118" s="216"/>
      <c r="F118" s="217">
        <f>SUM(F4:F117)</f>
        <v>185491.24</v>
      </c>
      <c r="G118" s="218"/>
      <c r="H118" s="218"/>
      <c r="I118" s="218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20"/>
      <c r="U118" s="220"/>
      <c r="V118" s="220"/>
      <c r="W118" s="220"/>
      <c r="X118" s="220"/>
      <c r="Y118" s="220"/>
      <c r="Z118" s="220"/>
    </row>
    <row r="119" ht="15.0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ht="15.0" customHeight="1">
      <c r="A120" s="212" t="s">
        <v>455</v>
      </c>
      <c r="B120" s="2"/>
      <c r="C120" s="2"/>
      <c r="D120" s="2"/>
      <c r="E120" s="2"/>
      <c r="F120" s="2"/>
      <c r="G120" s="2"/>
      <c r="H120" s="2"/>
      <c r="I120" s="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ht="15.0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ht="15.0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ht="15.0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ht="15.0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ht="15.0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</row>
    <row r="126" ht="15.0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ht="15.0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ht="15.0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ht="15.0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ht="15.0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ht="15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 ht="15.0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ht="15.0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ht="15.0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ht="15.0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ht="15.0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ht="15.0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ht="15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ht="15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ht="15.0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ht="15.0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</row>
    <row r="142" ht="15.0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ht="15.0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ht="15.0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ht="15.0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ht="15.0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ht="15.0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ht="15.0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</row>
    <row r="149" ht="15.0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ht="15.0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ht="15.0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ht="15.0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ht="15.0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ht="15.0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ht="15.0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ht="15.0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 ht="15.0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ht="15.0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ht="15.0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ht="15.0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ht="15.0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</row>
    <row r="162" ht="15.0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ht="15.0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ht="15.0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ht="15.0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ht="15.0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ht="15.0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ht="15.0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</row>
    <row r="169" ht="15.0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</row>
    <row r="170" ht="15.0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</row>
    <row r="171" ht="15.0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</row>
    <row r="172" ht="15.0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</row>
    <row r="173" ht="15.0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18:E118"/>
    <mergeCell ref="A120:I120"/>
  </mergeCells>
  <hyperlinks>
    <hyperlink r:id="rId1" ref="G4"/>
    <hyperlink r:id="rId2" ref="G5"/>
    <hyperlink r:id="rId3" ref="G6"/>
    <hyperlink r:id="rId4" ref="G7"/>
    <hyperlink r:id="rId5" ref="G8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54" ref="G58"/>
    <hyperlink r:id="rId55" ref="G59"/>
    <hyperlink r:id="rId56" ref="G60"/>
    <hyperlink r:id="rId57" ref="G61"/>
    <hyperlink r:id="rId58" ref="G62"/>
    <hyperlink r:id="rId59" ref="G63"/>
    <hyperlink r:id="rId60" ref="G64"/>
    <hyperlink r:id="rId61" ref="G65"/>
    <hyperlink r:id="rId62" ref="G66"/>
    <hyperlink r:id="rId63" ref="G67"/>
    <hyperlink r:id="rId64" ref="G68"/>
    <hyperlink r:id="rId65" ref="G69"/>
    <hyperlink r:id="rId66" ref="G70"/>
    <hyperlink r:id="rId67" ref="G71"/>
    <hyperlink r:id="rId68" ref="G72"/>
    <hyperlink r:id="rId69" ref="G73"/>
    <hyperlink r:id="rId70" ref="G74"/>
    <hyperlink r:id="rId71" ref="G75"/>
    <hyperlink r:id="rId72" ref="G76"/>
    <hyperlink r:id="rId73" ref="G77"/>
    <hyperlink r:id="rId74" ref="G78"/>
    <hyperlink r:id="rId75" ref="G79"/>
    <hyperlink r:id="rId76" ref="G80"/>
    <hyperlink r:id="rId77" ref="G81"/>
    <hyperlink r:id="rId78" ref="G82"/>
    <hyperlink r:id="rId79" ref="G83"/>
    <hyperlink r:id="rId80" ref="G84"/>
    <hyperlink r:id="rId81" ref="G85"/>
    <hyperlink r:id="rId82" ref="G86"/>
    <hyperlink r:id="rId83" ref="G87"/>
    <hyperlink r:id="rId84" ref="G88"/>
    <hyperlink r:id="rId85" ref="G89"/>
    <hyperlink r:id="rId86" ref="G90"/>
    <hyperlink r:id="rId87" ref="G91"/>
    <hyperlink r:id="rId88" ref="G92"/>
    <hyperlink r:id="rId89" ref="G93"/>
    <hyperlink r:id="rId90" ref="G94"/>
    <hyperlink r:id="rId91" ref="G95"/>
    <hyperlink r:id="rId92" ref="G96"/>
    <hyperlink r:id="rId93" ref="G97"/>
    <hyperlink r:id="rId94" ref="G98"/>
    <hyperlink r:id="rId95" ref="G99"/>
    <hyperlink r:id="rId96" ref="G100"/>
    <hyperlink r:id="rId97" ref="G101"/>
    <hyperlink r:id="rId98" ref="G102"/>
    <hyperlink r:id="rId99" ref="G103"/>
    <hyperlink r:id="rId100" ref="G104"/>
    <hyperlink r:id="rId101" ref="G105"/>
    <hyperlink r:id="rId102" ref="G106"/>
    <hyperlink r:id="rId103" ref="G107"/>
    <hyperlink r:id="rId104" ref="G108"/>
    <hyperlink r:id="rId105" ref="G109"/>
    <hyperlink r:id="rId106" ref="G110"/>
    <hyperlink r:id="rId107" ref="G111"/>
    <hyperlink r:id="rId108" ref="G112"/>
    <hyperlink r:id="rId109" ref="G113"/>
    <hyperlink r:id="rId110" ref="G114"/>
    <hyperlink r:id="rId111" ref="G115"/>
    <hyperlink r:id="rId112" ref="G116"/>
    <hyperlink r:id="rId113" ref="G117"/>
  </hyperlinks>
  <printOptions/>
  <pageMargins bottom="1.0" footer="0.0" header="0.0" left="0.75" right="0.75" top="1.0"/>
  <pageSetup paperSize="9" orientation="portrait"/>
  <drawing r:id="rId1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8.29"/>
    <col customWidth="1" min="3" max="3" width="34.0"/>
    <col customWidth="1" min="4" max="4" width="16.0"/>
    <col customWidth="1" min="5" max="5" width="12.0"/>
    <col customWidth="1" min="6" max="6" width="16.0"/>
    <col customWidth="1" min="7" max="7" width="12.0"/>
    <col customWidth="1" min="8" max="11" width="16.0"/>
    <col customWidth="1" min="12" max="12" width="12.14"/>
    <col customWidth="1" min="13" max="13" width="14.29"/>
    <col customWidth="1" min="14" max="14" width="14.14"/>
    <col customWidth="1" min="15" max="16" width="18.0"/>
  </cols>
  <sheetData>
    <row r="1" ht="33.75" customHeight="1">
      <c r="A1" s="1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9"/>
      <c r="P1" s="9"/>
    </row>
    <row r="2" ht="18.0" customHeight="1">
      <c r="A2" s="23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9"/>
      <c r="P2" s="9"/>
    </row>
    <row r="3" ht="24.0" customHeight="1">
      <c r="A3" s="28" t="s">
        <v>35</v>
      </c>
      <c r="B3" s="28" t="s">
        <v>8</v>
      </c>
      <c r="C3" s="28" t="s">
        <v>39</v>
      </c>
      <c r="D3" s="28" t="s">
        <v>40</v>
      </c>
      <c r="E3" s="28" t="s">
        <v>41</v>
      </c>
      <c r="F3" s="28" t="s">
        <v>42</v>
      </c>
      <c r="G3" s="28" t="s">
        <v>43</v>
      </c>
      <c r="H3" s="28" t="s">
        <v>44</v>
      </c>
      <c r="I3" s="28" t="s">
        <v>45</v>
      </c>
      <c r="J3" s="28" t="s">
        <v>46</v>
      </c>
      <c r="K3" s="28" t="s">
        <v>47</v>
      </c>
      <c r="L3" s="28" t="s">
        <v>49</v>
      </c>
      <c r="M3" s="28" t="s">
        <v>51</v>
      </c>
      <c r="N3" s="28" t="s">
        <v>52</v>
      </c>
      <c r="O3" s="38" t="s">
        <v>55</v>
      </c>
      <c r="P3" s="40" t="s">
        <v>57</v>
      </c>
    </row>
    <row r="4" ht="21.75" customHeight="1">
      <c r="A4" s="43" t="s">
        <v>59</v>
      </c>
      <c r="B4" s="45" t="s">
        <v>61</v>
      </c>
      <c r="C4" s="45" t="s">
        <v>63</v>
      </c>
      <c r="D4" s="47">
        <v>297303.06</v>
      </c>
      <c r="E4" s="49">
        <v>0.03</v>
      </c>
      <c r="F4" s="47">
        <v>8919.09</v>
      </c>
      <c r="G4" s="52">
        <v>4.59E-4</v>
      </c>
      <c r="H4" s="47">
        <v>8915.0</v>
      </c>
      <c r="I4" s="47">
        <v>5923.32</v>
      </c>
      <c r="J4" s="53">
        <v>2961.23</v>
      </c>
      <c r="K4" s="55">
        <v>46130.0</v>
      </c>
      <c r="L4" s="56" t="s">
        <v>48</v>
      </c>
      <c r="M4" s="56" t="s">
        <v>48</v>
      </c>
      <c r="N4" s="57" t="s">
        <v>75</v>
      </c>
      <c r="O4" s="60">
        <f t="shared" ref="O4:O21" si="1">MAX(0,0.08-G4)</f>
        <v>0.079541</v>
      </c>
      <c r="P4" s="62">
        <f t="shared" ref="P4:P21" si="2">F4*O4</f>
        <v>709.4333377</v>
      </c>
    </row>
    <row r="5" ht="21.75" customHeight="1">
      <c r="A5" s="63" t="s">
        <v>59</v>
      </c>
      <c r="B5" s="64" t="s">
        <v>86</v>
      </c>
      <c r="C5" s="64" t="s">
        <v>87</v>
      </c>
      <c r="D5" s="65">
        <v>297303.06</v>
      </c>
      <c r="E5" s="66">
        <v>0.04</v>
      </c>
      <c r="F5" s="65">
        <v>11892.12</v>
      </c>
      <c r="G5" s="52">
        <v>0.17737</v>
      </c>
      <c r="H5" s="65">
        <v>9782.82</v>
      </c>
      <c r="I5" s="65">
        <v>6521.86</v>
      </c>
      <c r="J5" s="68">
        <v>3260.96</v>
      </c>
      <c r="K5" s="69">
        <v>46135.0</v>
      </c>
      <c r="L5" s="56" t="s">
        <v>48</v>
      </c>
      <c r="M5" s="56" t="s">
        <v>48</v>
      </c>
      <c r="N5" s="57" t="s">
        <v>75</v>
      </c>
      <c r="O5" s="60">
        <f t="shared" si="1"/>
        <v>0</v>
      </c>
      <c r="P5" s="62">
        <f t="shared" si="2"/>
        <v>0</v>
      </c>
    </row>
    <row r="6" ht="21.75" customHeight="1">
      <c r="A6" s="43" t="s">
        <v>91</v>
      </c>
      <c r="B6" s="45" t="s">
        <v>92</v>
      </c>
      <c r="C6" s="45" t="s">
        <v>93</v>
      </c>
      <c r="D6" s="47">
        <v>5000.0</v>
      </c>
      <c r="E6" s="49">
        <v>1.0</v>
      </c>
      <c r="F6" s="47">
        <v>5000.0</v>
      </c>
      <c r="G6" s="52">
        <v>0.1049</v>
      </c>
      <c r="H6" s="47">
        <v>4475.5</v>
      </c>
      <c r="I6" s="47">
        <v>2237.75</v>
      </c>
      <c r="J6" s="53">
        <v>2237.75</v>
      </c>
      <c r="K6" s="55">
        <v>46203.0</v>
      </c>
      <c r="L6" s="57" t="s">
        <v>75</v>
      </c>
      <c r="M6" s="57" t="s">
        <v>75</v>
      </c>
      <c r="N6" s="57" t="s">
        <v>75</v>
      </c>
      <c r="O6" s="60">
        <f t="shared" si="1"/>
        <v>0</v>
      </c>
      <c r="P6" s="62">
        <f t="shared" si="2"/>
        <v>0</v>
      </c>
    </row>
    <row r="7" ht="21.75" customHeight="1">
      <c r="A7" s="63" t="s">
        <v>91</v>
      </c>
      <c r="B7" s="64" t="s">
        <v>92</v>
      </c>
      <c r="C7" s="64" t="s">
        <v>100</v>
      </c>
      <c r="D7" s="65">
        <v>371399.84</v>
      </c>
      <c r="E7" s="66">
        <v>0.04</v>
      </c>
      <c r="F7" s="65">
        <v>14855.99</v>
      </c>
      <c r="G7" s="52">
        <v>0.1049</v>
      </c>
      <c r="H7" s="65">
        <v>13297.6</v>
      </c>
      <c r="I7" s="65">
        <v>6648.8</v>
      </c>
      <c r="J7" s="68">
        <v>6648.8</v>
      </c>
      <c r="K7" s="69">
        <v>46051.0</v>
      </c>
      <c r="L7" s="56" t="s">
        <v>48</v>
      </c>
      <c r="M7" s="56" t="s">
        <v>48</v>
      </c>
      <c r="N7" s="57" t="s">
        <v>75</v>
      </c>
      <c r="O7" s="60">
        <f t="shared" si="1"/>
        <v>0</v>
      </c>
      <c r="P7" s="62">
        <f t="shared" si="2"/>
        <v>0</v>
      </c>
    </row>
    <row r="8" ht="21.75" customHeight="1">
      <c r="A8" s="43" t="s">
        <v>91</v>
      </c>
      <c r="B8" s="45" t="s">
        <v>105</v>
      </c>
      <c r="C8" s="45" t="s">
        <v>106</v>
      </c>
      <c r="D8" s="47">
        <v>349804.35</v>
      </c>
      <c r="E8" s="49">
        <v>0.04</v>
      </c>
      <c r="F8" s="47">
        <v>13992.17</v>
      </c>
      <c r="G8" s="52">
        <v>0.1049</v>
      </c>
      <c r="H8" s="47">
        <v>12524.39</v>
      </c>
      <c r="I8" s="47">
        <v>6262.2</v>
      </c>
      <c r="J8" s="53">
        <v>6262.2</v>
      </c>
      <c r="K8" s="55">
        <v>46203.0</v>
      </c>
      <c r="L8" s="57" t="s">
        <v>75</v>
      </c>
      <c r="M8" s="57" t="s">
        <v>75</v>
      </c>
      <c r="N8" s="57" t="s">
        <v>75</v>
      </c>
      <c r="O8" s="60">
        <f t="shared" si="1"/>
        <v>0</v>
      </c>
      <c r="P8" s="62">
        <f t="shared" si="2"/>
        <v>0</v>
      </c>
    </row>
    <row r="9" ht="21.75" customHeight="1">
      <c r="A9" s="63" t="s">
        <v>91</v>
      </c>
      <c r="B9" s="64" t="s">
        <v>109</v>
      </c>
      <c r="C9" s="64" t="s">
        <v>110</v>
      </c>
      <c r="D9" s="65">
        <v>347410.55</v>
      </c>
      <c r="E9" s="66">
        <v>0.04</v>
      </c>
      <c r="F9" s="65">
        <v>13896.42</v>
      </c>
      <c r="G9" s="52">
        <v>0.1049</v>
      </c>
      <c r="H9" s="65">
        <v>12438.69</v>
      </c>
      <c r="I9" s="65">
        <v>6219.34</v>
      </c>
      <c r="J9" s="68">
        <v>6219.34</v>
      </c>
      <c r="K9" s="69">
        <v>46203.0</v>
      </c>
      <c r="L9" s="57" t="s">
        <v>75</v>
      </c>
      <c r="M9" s="57" t="s">
        <v>75</v>
      </c>
      <c r="N9" s="57" t="s">
        <v>75</v>
      </c>
      <c r="O9" s="60">
        <f t="shared" si="1"/>
        <v>0</v>
      </c>
      <c r="P9" s="62">
        <f t="shared" si="2"/>
        <v>0</v>
      </c>
    </row>
    <row r="10" ht="21.75" customHeight="1">
      <c r="A10" s="43" t="s">
        <v>116</v>
      </c>
      <c r="B10" s="45" t="s">
        <v>117</v>
      </c>
      <c r="C10" s="45" t="s">
        <v>118</v>
      </c>
      <c r="D10" s="47">
        <v>352531.5</v>
      </c>
      <c r="E10" s="49">
        <v>0.04</v>
      </c>
      <c r="F10" s="47">
        <v>14101.26</v>
      </c>
      <c r="G10" s="52">
        <v>0.08</v>
      </c>
      <c r="H10" s="47">
        <v>12973.16</v>
      </c>
      <c r="I10" s="47" t="s">
        <v>119</v>
      </c>
      <c r="J10" s="53">
        <v>4324.38</v>
      </c>
      <c r="K10" s="55">
        <v>46235.0</v>
      </c>
      <c r="L10" s="56" t="s">
        <v>48</v>
      </c>
      <c r="M10" s="56" t="s">
        <v>48</v>
      </c>
      <c r="N10" s="57" t="s">
        <v>75</v>
      </c>
      <c r="O10" s="60">
        <f t="shared" si="1"/>
        <v>0</v>
      </c>
      <c r="P10" s="62">
        <f t="shared" si="2"/>
        <v>0</v>
      </c>
    </row>
    <row r="11" ht="21.75" customHeight="1">
      <c r="A11" s="63" t="s">
        <v>53</v>
      </c>
      <c r="B11" s="64" t="s">
        <v>120</v>
      </c>
      <c r="C11" s="64" t="s">
        <v>122</v>
      </c>
      <c r="D11" s="65">
        <v>350000.0</v>
      </c>
      <c r="E11" s="66">
        <v>0.04</v>
      </c>
      <c r="F11" s="65">
        <v>14000.0</v>
      </c>
      <c r="G11" s="52">
        <v>0.0353</v>
      </c>
      <c r="H11" s="65">
        <f>F11-(F11*G11)</f>
        <v>13505.8</v>
      </c>
      <c r="I11" s="84">
        <v>6752.9</v>
      </c>
      <c r="J11" s="84">
        <v>6752.9</v>
      </c>
      <c r="K11" s="69">
        <v>46203.0</v>
      </c>
      <c r="L11" s="56" t="s">
        <v>48</v>
      </c>
      <c r="M11" s="56" t="s">
        <v>48</v>
      </c>
      <c r="N11" s="57" t="s">
        <v>75</v>
      </c>
      <c r="O11" s="60">
        <f t="shared" si="1"/>
        <v>0.0447</v>
      </c>
      <c r="P11" s="62">
        <f t="shared" si="2"/>
        <v>625.8</v>
      </c>
    </row>
    <row r="12" ht="21.75" customHeight="1">
      <c r="A12" s="43" t="s">
        <v>53</v>
      </c>
      <c r="B12" s="45" t="s">
        <v>127</v>
      </c>
      <c r="C12" s="45" t="s">
        <v>128</v>
      </c>
      <c r="D12" s="47">
        <v>506017.33</v>
      </c>
      <c r="E12" s="49">
        <v>0.04</v>
      </c>
      <c r="F12" s="47">
        <v>20240.69</v>
      </c>
      <c r="G12" s="52">
        <v>0.0353</v>
      </c>
      <c r="H12" s="47">
        <v>19526.19</v>
      </c>
      <c r="I12" s="85">
        <v>9763.095</v>
      </c>
      <c r="J12" s="85">
        <v>9763.095</v>
      </c>
      <c r="K12" s="69">
        <v>46210.0</v>
      </c>
      <c r="L12" s="56" t="s">
        <v>48</v>
      </c>
      <c r="M12" s="56" t="s">
        <v>48</v>
      </c>
      <c r="N12" s="57" t="s">
        <v>75</v>
      </c>
      <c r="O12" s="60">
        <f t="shared" si="1"/>
        <v>0.0447</v>
      </c>
      <c r="P12" s="62">
        <f t="shared" si="2"/>
        <v>904.758843</v>
      </c>
    </row>
    <row r="13" ht="21.75" customHeight="1">
      <c r="A13" s="63" t="s">
        <v>53</v>
      </c>
      <c r="B13" s="64" t="s">
        <v>135</v>
      </c>
      <c r="C13" s="64" t="s">
        <v>136</v>
      </c>
      <c r="D13" s="65">
        <v>474002.21</v>
      </c>
      <c r="E13" s="66">
        <v>0.04</v>
      </c>
      <c r="F13" s="65">
        <v>18960.09</v>
      </c>
      <c r="G13" s="52">
        <v>0.1049</v>
      </c>
      <c r="H13" s="65">
        <v>16971.18</v>
      </c>
      <c r="I13" s="84">
        <v>8485.58756342</v>
      </c>
      <c r="J13" s="68">
        <v>16971.18</v>
      </c>
      <c r="K13" s="69">
        <v>46234.0</v>
      </c>
      <c r="L13" s="57" t="s">
        <v>75</v>
      </c>
      <c r="M13" s="57" t="s">
        <v>75</v>
      </c>
      <c r="N13" s="57" t="s">
        <v>75</v>
      </c>
      <c r="O13" s="60">
        <f t="shared" si="1"/>
        <v>0</v>
      </c>
      <c r="P13" s="62">
        <f t="shared" si="2"/>
        <v>0</v>
      </c>
    </row>
    <row r="14" ht="21.75" customHeight="1">
      <c r="A14" s="43" t="s">
        <v>53</v>
      </c>
      <c r="B14" s="45" t="s">
        <v>141</v>
      </c>
      <c r="C14" s="45" t="s">
        <v>142</v>
      </c>
      <c r="D14" s="47">
        <v>760998.58</v>
      </c>
      <c r="E14" s="49">
        <v>0.04</v>
      </c>
      <c r="F14" s="47">
        <v>30439.94</v>
      </c>
      <c r="G14" s="52">
        <v>0.1049</v>
      </c>
      <c r="H14" s="47">
        <v>27246.79</v>
      </c>
      <c r="I14" s="47">
        <v>13623.4</v>
      </c>
      <c r="J14" s="53">
        <v>13623.4</v>
      </c>
      <c r="K14" s="55">
        <v>46157.0</v>
      </c>
      <c r="L14" s="56" t="s">
        <v>48</v>
      </c>
      <c r="M14" s="56" t="s">
        <v>48</v>
      </c>
      <c r="N14" s="56" t="s">
        <v>48</v>
      </c>
      <c r="O14" s="60">
        <f t="shared" si="1"/>
        <v>0</v>
      </c>
      <c r="P14" s="62">
        <f t="shared" si="2"/>
        <v>0</v>
      </c>
    </row>
    <row r="15" ht="21.75" customHeight="1">
      <c r="A15" s="63" t="s">
        <v>53</v>
      </c>
      <c r="B15" s="64" t="s">
        <v>146</v>
      </c>
      <c r="C15" s="64" t="s">
        <v>147</v>
      </c>
      <c r="D15" s="65">
        <v>622121.6</v>
      </c>
      <c r="E15" s="66">
        <v>0.04</v>
      </c>
      <c r="F15" s="65">
        <v>24884.86</v>
      </c>
      <c r="G15" s="52">
        <v>0.1049</v>
      </c>
      <c r="H15" s="65">
        <v>22274.44</v>
      </c>
      <c r="I15" s="65">
        <v>11137.22</v>
      </c>
      <c r="J15" s="68">
        <v>11137.22</v>
      </c>
      <c r="K15" s="69">
        <v>46147.0</v>
      </c>
      <c r="L15" s="56" t="s">
        <v>48</v>
      </c>
      <c r="M15" s="56" t="s">
        <v>48</v>
      </c>
      <c r="N15" s="57" t="s">
        <v>75</v>
      </c>
      <c r="O15" s="60">
        <f t="shared" si="1"/>
        <v>0</v>
      </c>
      <c r="P15" s="62">
        <f t="shared" si="2"/>
        <v>0</v>
      </c>
    </row>
    <row r="16" ht="21.75" customHeight="1">
      <c r="A16" s="43" t="s">
        <v>53</v>
      </c>
      <c r="B16" s="45" t="s">
        <v>150</v>
      </c>
      <c r="C16" s="45" t="s">
        <v>151</v>
      </c>
      <c r="D16" s="47">
        <v>559786.91</v>
      </c>
      <c r="E16" s="49">
        <v>0.04</v>
      </c>
      <c r="F16" s="47">
        <v>22391.48</v>
      </c>
      <c r="G16" s="52">
        <v>0.0353</v>
      </c>
      <c r="H16" s="47">
        <v>21601.06</v>
      </c>
      <c r="I16" s="47">
        <v>10800.53</v>
      </c>
      <c r="J16" s="53">
        <v>10800.53</v>
      </c>
      <c r="K16" s="55">
        <v>46173.0</v>
      </c>
      <c r="L16" s="56" t="s">
        <v>48</v>
      </c>
      <c r="M16" s="56" t="s">
        <v>48</v>
      </c>
      <c r="N16" s="57" t="s">
        <v>75</v>
      </c>
      <c r="O16" s="60">
        <f t="shared" si="1"/>
        <v>0.0447</v>
      </c>
      <c r="P16" s="62">
        <f t="shared" si="2"/>
        <v>1000.899156</v>
      </c>
    </row>
    <row r="17" ht="21.75" customHeight="1">
      <c r="A17" s="43" t="s">
        <v>53</v>
      </c>
      <c r="B17" s="45" t="s">
        <v>150</v>
      </c>
      <c r="C17" s="45" t="s">
        <v>154</v>
      </c>
      <c r="D17" s="47">
        <v>559786.91</v>
      </c>
      <c r="E17" s="49">
        <v>0.04</v>
      </c>
      <c r="F17" s="47">
        <v>22391.48</v>
      </c>
      <c r="G17" s="52">
        <v>0.0353</v>
      </c>
      <c r="H17" s="47">
        <v>21601.06</v>
      </c>
      <c r="I17" s="47">
        <v>10800.53</v>
      </c>
      <c r="J17" s="53">
        <v>10800.53</v>
      </c>
      <c r="K17" s="55">
        <v>46217.0</v>
      </c>
      <c r="L17" s="56" t="s">
        <v>48</v>
      </c>
      <c r="M17" s="56" t="s">
        <v>48</v>
      </c>
      <c r="N17" s="57" t="s">
        <v>75</v>
      </c>
      <c r="O17" s="60">
        <f t="shared" si="1"/>
        <v>0.0447</v>
      </c>
      <c r="P17" s="62">
        <f t="shared" si="2"/>
        <v>1000.899156</v>
      </c>
    </row>
    <row r="18" ht="21.75" customHeight="1">
      <c r="A18" s="63" t="s">
        <v>53</v>
      </c>
      <c r="B18" s="64" t="s">
        <v>150</v>
      </c>
      <c r="C18" s="64" t="s">
        <v>157</v>
      </c>
      <c r="D18" s="65">
        <v>3000.0</v>
      </c>
      <c r="E18" s="49">
        <v>0.04</v>
      </c>
      <c r="F18" s="65">
        <v>3000.0</v>
      </c>
      <c r="G18" s="96">
        <v>0.0353</v>
      </c>
      <c r="H18" s="65">
        <v>2990.57</v>
      </c>
      <c r="I18" s="65">
        <v>1495.0</v>
      </c>
      <c r="J18" s="53">
        <v>1495.0</v>
      </c>
      <c r="K18" s="69">
        <v>46173.0</v>
      </c>
      <c r="L18" s="56" t="s">
        <v>48</v>
      </c>
      <c r="M18" s="56" t="s">
        <v>48</v>
      </c>
      <c r="N18" s="56" t="s">
        <v>48</v>
      </c>
      <c r="O18" s="60">
        <f t="shared" si="1"/>
        <v>0.0447</v>
      </c>
      <c r="P18" s="62">
        <f t="shared" si="2"/>
        <v>134.1</v>
      </c>
    </row>
    <row r="19" ht="21.75" customHeight="1">
      <c r="A19" s="63" t="s">
        <v>53</v>
      </c>
      <c r="B19" s="64" t="s">
        <v>161</v>
      </c>
      <c r="C19" s="64" t="s">
        <v>96</v>
      </c>
      <c r="D19" s="65">
        <v>387000.0</v>
      </c>
      <c r="E19" s="49">
        <v>0.04</v>
      </c>
      <c r="F19" s="84">
        <f t="shared" ref="F19:F22" si="3">D19*E19</f>
        <v>15480</v>
      </c>
      <c r="G19" s="96">
        <v>0.0353</v>
      </c>
      <c r="H19" s="84">
        <f t="shared" ref="H19:H22" si="4">F19-(G19*F19)</f>
        <v>14933.556</v>
      </c>
      <c r="I19" s="84">
        <f t="shared" ref="I19:I22" si="5">H19/2</f>
        <v>7466.778</v>
      </c>
      <c r="J19" s="53">
        <f t="shared" ref="J19:J22" si="6">H19-I19</f>
        <v>7466.778</v>
      </c>
      <c r="K19" s="69">
        <v>46192.0</v>
      </c>
      <c r="L19" s="56" t="s">
        <v>48</v>
      </c>
      <c r="M19" s="56" t="s">
        <v>48</v>
      </c>
      <c r="N19" s="56" t="s">
        <v>48</v>
      </c>
      <c r="O19" s="60">
        <f t="shared" si="1"/>
        <v>0.0447</v>
      </c>
      <c r="P19" s="62">
        <f t="shared" si="2"/>
        <v>691.956</v>
      </c>
    </row>
    <row r="20" ht="21.75" customHeight="1">
      <c r="A20" s="63" t="s">
        <v>53</v>
      </c>
      <c r="B20" s="64" t="s">
        <v>165</v>
      </c>
      <c r="C20" s="64" t="s">
        <v>142</v>
      </c>
      <c r="D20" s="65">
        <v>708807.0</v>
      </c>
      <c r="E20" s="49">
        <v>0.04</v>
      </c>
      <c r="F20" s="84">
        <f t="shared" si="3"/>
        <v>28352.28</v>
      </c>
      <c r="G20" s="96">
        <v>0.0353</v>
      </c>
      <c r="H20" s="84">
        <f t="shared" si="4"/>
        <v>27351.44452</v>
      </c>
      <c r="I20" s="84">
        <f t="shared" si="5"/>
        <v>13675.72226</v>
      </c>
      <c r="J20" s="53">
        <f t="shared" si="6"/>
        <v>13675.72226</v>
      </c>
      <c r="K20" s="69">
        <v>46203.0</v>
      </c>
      <c r="L20" s="56" t="s">
        <v>48</v>
      </c>
      <c r="M20" s="56" t="s">
        <v>48</v>
      </c>
      <c r="N20" s="57" t="s">
        <v>75</v>
      </c>
      <c r="O20" s="60">
        <f t="shared" si="1"/>
        <v>0.0447</v>
      </c>
      <c r="P20" s="62">
        <f t="shared" si="2"/>
        <v>1267.346916</v>
      </c>
    </row>
    <row r="21" ht="21.75" customHeight="1">
      <c r="A21" s="63" t="s">
        <v>53</v>
      </c>
      <c r="B21" s="64" t="s">
        <v>175</v>
      </c>
      <c r="C21" s="64" t="s">
        <v>176</v>
      </c>
      <c r="D21" s="65">
        <v>453132.94</v>
      </c>
      <c r="E21" s="49">
        <v>0.04</v>
      </c>
      <c r="F21" s="84">
        <f t="shared" si="3"/>
        <v>18125.3176</v>
      </c>
      <c r="G21" s="96">
        <v>0.0353</v>
      </c>
      <c r="H21" s="84">
        <f t="shared" si="4"/>
        <v>17485.49389</v>
      </c>
      <c r="I21" s="84">
        <f t="shared" si="5"/>
        <v>8742.746944</v>
      </c>
      <c r="J21" s="53">
        <f t="shared" si="6"/>
        <v>8742.746944</v>
      </c>
      <c r="K21" s="69">
        <v>46217.0</v>
      </c>
      <c r="L21" s="56" t="s">
        <v>48</v>
      </c>
      <c r="M21" s="56" t="s">
        <v>48</v>
      </c>
      <c r="N21" s="57" t="s">
        <v>75</v>
      </c>
      <c r="O21" s="60">
        <f t="shared" si="1"/>
        <v>0.0447</v>
      </c>
      <c r="P21" s="62">
        <f t="shared" si="2"/>
        <v>810.2016967</v>
      </c>
    </row>
    <row r="22" ht="21.75" customHeight="1">
      <c r="A22" s="105" t="s">
        <v>59</v>
      </c>
      <c r="B22" s="64" t="s">
        <v>179</v>
      </c>
      <c r="C22" s="64" t="s">
        <v>180</v>
      </c>
      <c r="D22" s="65">
        <v>594104.25</v>
      </c>
      <c r="E22" s="49">
        <v>0.04</v>
      </c>
      <c r="F22" s="84">
        <f t="shared" si="3"/>
        <v>23764.17</v>
      </c>
      <c r="G22" s="96">
        <v>0.0353</v>
      </c>
      <c r="H22" s="84">
        <f t="shared" si="4"/>
        <v>22925.2948</v>
      </c>
      <c r="I22" s="84">
        <f t="shared" si="5"/>
        <v>11462.6474</v>
      </c>
      <c r="J22" s="53">
        <f t="shared" si="6"/>
        <v>11462.6474</v>
      </c>
      <c r="K22" s="69">
        <v>46260.0</v>
      </c>
      <c r="L22" s="57" t="s">
        <v>75</v>
      </c>
      <c r="M22" s="57" t="s">
        <v>75</v>
      </c>
      <c r="N22" s="57" t="s">
        <v>75</v>
      </c>
      <c r="O22" s="60"/>
      <c r="P22" s="62"/>
    </row>
    <row r="23" ht="25.5" customHeight="1">
      <c r="A23" s="106" t="s">
        <v>182</v>
      </c>
      <c r="B23" s="2"/>
      <c r="C23" s="4"/>
      <c r="D23" s="107">
        <f>SUM(D4:D18)</f>
        <v>5856465.9</v>
      </c>
      <c r="E23" s="108"/>
      <c r="F23" s="107">
        <f>SUM(F4:F18)</f>
        <v>238965.59</v>
      </c>
      <c r="G23" s="109"/>
      <c r="H23" s="107">
        <f t="shared" ref="H23:J23" si="7">SUM(H4:H18)</f>
        <v>220124.25</v>
      </c>
      <c r="I23" s="107">
        <f t="shared" si="7"/>
        <v>106671.5326</v>
      </c>
      <c r="J23" s="107">
        <f t="shared" si="7"/>
        <v>113258.515</v>
      </c>
      <c r="K23" s="108"/>
      <c r="L23" s="108"/>
      <c r="M23" s="108"/>
      <c r="N23" s="108"/>
      <c r="O23" s="110"/>
      <c r="P23" s="111">
        <f>SUM(P4:P18)</f>
        <v>4375.890493</v>
      </c>
    </row>
    <row r="24" ht="15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12"/>
      <c r="P24" s="113"/>
    </row>
    <row r="25" ht="21.75" customHeight="1">
      <c r="B25" s="114" t="s">
        <v>189</v>
      </c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9"/>
      <c r="P25" s="9"/>
    </row>
    <row r="26" ht="24.0" customHeight="1">
      <c r="B26" s="116" t="s">
        <v>190</v>
      </c>
      <c r="C26" s="117">
        <f>SUMIF(L4:L18,"Não",J4:J18)</f>
        <v>31690.47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ht="24.0" customHeight="1">
      <c r="B27" s="116" t="s">
        <v>193</v>
      </c>
      <c r="C27" s="117">
        <f>SUMIF(L4:L18,"Sim",J4:J18)</f>
        <v>81568.045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ht="24.0" customHeight="1">
      <c r="B28" s="116" t="s">
        <v>195</v>
      </c>
      <c r="C28" s="117">
        <f>SUM(J4:J18)</f>
        <v>113258.515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N1"/>
    <mergeCell ref="A2:N2"/>
    <mergeCell ref="A23:C23"/>
    <mergeCell ref="B25:C2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10" width="14.0"/>
    <col customWidth="1" min="11" max="11" width="16.0"/>
  </cols>
  <sheetData>
    <row r="1" ht="33.75" customHeight="1">
      <c r="A1" s="158" t="s">
        <v>260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8.0" customHeight="1">
      <c r="A2" s="159" t="s">
        <v>265</v>
      </c>
      <c r="B2" s="2"/>
      <c r="C2" s="2"/>
      <c r="D2" s="2"/>
      <c r="E2" s="2"/>
      <c r="F2" s="2"/>
      <c r="G2" s="2"/>
      <c r="H2" s="2"/>
      <c r="I2" s="2"/>
      <c r="J2" s="2"/>
      <c r="K2" s="4"/>
    </row>
    <row r="3" ht="7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24.0" customHeight="1">
      <c r="A4" s="160" t="s">
        <v>266</v>
      </c>
      <c r="B4" s="160" t="s">
        <v>267</v>
      </c>
      <c r="C4" s="160" t="s">
        <v>269</v>
      </c>
      <c r="D4" s="160" t="s">
        <v>270</v>
      </c>
      <c r="E4" s="160" t="s">
        <v>272</v>
      </c>
      <c r="F4" s="160" t="s">
        <v>273</v>
      </c>
      <c r="G4" s="160" t="s">
        <v>274</v>
      </c>
      <c r="H4" s="160" t="s">
        <v>275</v>
      </c>
      <c r="I4" s="160" t="s">
        <v>276</v>
      </c>
      <c r="J4" s="160" t="s">
        <v>277</v>
      </c>
      <c r="K4" s="160" t="s">
        <v>278</v>
      </c>
    </row>
    <row r="5" ht="21.75" customHeight="1">
      <c r="A5" s="161" t="s">
        <v>279</v>
      </c>
      <c r="B5" s="162">
        <f>IFERROR(SUMIFS(Entradas!G:G,Entradas!A:A,"&gt;="&amp;DATE(2026,4,1),Entradas!A:A,"&lt;="&amp;EOMONTH(DATE(2026,4,1),0)),0)</f>
        <v>15546.57</v>
      </c>
      <c r="C5" s="162">
        <f>IFERROR(SUMIFS(Entradas!G:G,Entradas!A:A,"&gt;="&amp;DATE(2026,5,1),Entradas!A:A,"&lt;="&amp;EOMONTH(DATE(2026,5,1),0)),0)</f>
        <v>67162.93</v>
      </c>
      <c r="D5" s="162">
        <f>IFERROR(SUMIFS(Entradas!G:G,Entradas!A:A,"&gt;="&amp;DATE(2026,6,1),Entradas!A:A,"&lt;="&amp;EOMONTH(DATE(2026,6,1),0)),0)</f>
        <v>55790.8</v>
      </c>
      <c r="E5" s="162">
        <f>IFERROR(SUMIFS(Entradas!G:G,Entradas!A:A,"&gt;="&amp;DATE(2026,7,1),Entradas!A:A,"&lt;="&amp;EOMONTH(DATE(2026,7,1),0)),0)</f>
        <v>95008.96</v>
      </c>
      <c r="F5" s="162">
        <f>IFERROR(SUMIFS(Entradas!G:G,Entradas!A:A,"&gt;="&amp;DATE(2026,8,1),Entradas!A:A,"&lt;="&amp;EOMONTH(DATE(2026,8,1),0)),0)</f>
        <v>0</v>
      </c>
      <c r="G5" s="162">
        <f>IFERROR(SUMIFS(Entradas!G:G,Entradas!A:A,"&gt;="&amp;DATE(2026,9,1),Entradas!A:A,"&lt;="&amp;EOMONTH(DATE(2026,9,1),0)),0)</f>
        <v>0</v>
      </c>
      <c r="H5" s="162">
        <f>IFERROR(SUMIFS(Entradas!G:G,Entradas!A:A,"&gt;="&amp;DATE(2026,10,1),Entradas!A:A,"&lt;="&amp;EOMONTH(DATE(2026,10,1),0)),0)</f>
        <v>0</v>
      </c>
      <c r="I5" s="162">
        <f>IFERROR(SUMIFS(Entradas!G:G,Entradas!A:A,"&gt;="&amp;DATE(2026,11,1),Entradas!A:A,"&lt;="&amp;EOMONTH(DATE(2026,11,1),0)),0)</f>
        <v>0</v>
      </c>
      <c r="J5" s="162">
        <f>IFERROR(SUMIFS(Entradas!G:G,Entradas!A:A,"&gt;="&amp;DATE(2026,12,1),Entradas!A:A,"&lt;="&amp;EOMONTH(DATE(2026,12,1),0)),0)</f>
        <v>0</v>
      </c>
      <c r="K5" s="162">
        <f t="shared" ref="K5:K16" si="1">SUM(B5:J5)</f>
        <v>233509.26</v>
      </c>
    </row>
    <row r="6" ht="21.75" customHeight="1">
      <c r="A6" s="163" t="s">
        <v>291</v>
      </c>
      <c r="B6" s="76">
        <f>IFERROR(SUMIFS(Entradas!G:G,Entradas!A:A,"&gt;="&amp;DATE(2026,4,1),Entradas!A:A,"&lt;="&amp;EOMONTH(DATE(2026,4,1),0),Entradas!E:E,"Comissão"),0)</f>
        <v>0</v>
      </c>
      <c r="C6" s="76">
        <f>IFERROR(SUMIFS(Entradas!G:G,Entradas!A:A,"&gt;="&amp;DATE(2026,5,1),Entradas!A:A,"&lt;="&amp;EOMONTH(DATE(2026,5,1),0),Entradas!E:E,"Comissão"),0)</f>
        <v>0</v>
      </c>
      <c r="D6" s="76">
        <f>IFERROR(SUMIFS(Entradas!G:G,Entradas!A:A,"&gt;="&amp;DATE(2026,6,1),Entradas!A:A,"&lt;="&amp;EOMONTH(DATE(2026,6,1),0),Entradas!E:E,"Comissão"),0)</f>
        <v>0</v>
      </c>
      <c r="E6" s="76">
        <f>IFERROR(SUMIFS(Entradas!G:G,Entradas!A:A,"&gt;="&amp;DATE(2026,7,1),Entradas!A:A,"&lt;="&amp;EOMONTH(DATE(2026,7,1),0),Entradas!E:E,"Comissão"),0)</f>
        <v>0</v>
      </c>
      <c r="F6" s="76">
        <f>IFERROR(SUMIFS(Entradas!G:G,Entradas!A:A,"&gt;="&amp;DATE(2026,8,1),Entradas!A:A,"&lt;="&amp;EOMONTH(DATE(2026,8,1),0),Entradas!E:E,"Comissão"),0)</f>
        <v>0</v>
      </c>
      <c r="G6" s="76">
        <f>IFERROR(SUMIFS(Entradas!G:G,Entradas!A:A,"&gt;="&amp;DATE(2026,9,1),Entradas!A:A,"&lt;="&amp;EOMONTH(DATE(2026,9,1),0),Entradas!E:E,"Comissão"),0)</f>
        <v>0</v>
      </c>
      <c r="H6" s="76">
        <f>IFERROR(SUMIFS(Entradas!G:G,Entradas!A:A,"&gt;="&amp;DATE(2026,10,1),Entradas!A:A,"&lt;="&amp;EOMONTH(DATE(2026,10,1),0),Entradas!E:E,"Comissão"),0)</f>
        <v>0</v>
      </c>
      <c r="I6" s="76">
        <f>IFERROR(SUMIFS(Entradas!G:G,Entradas!A:A,"&gt;="&amp;DATE(2026,11,1),Entradas!A:A,"&lt;="&amp;EOMONTH(DATE(2026,11,1),0),Entradas!E:E,"Comissão"),0)</f>
        <v>0</v>
      </c>
      <c r="J6" s="76">
        <f>IFERROR(SUMIFS(Entradas!G:G,Entradas!A:A,"&gt;="&amp;DATE(2026,12,1),Entradas!A:A,"&lt;="&amp;EOMONTH(DATE(2026,12,1),0),Entradas!E:E,"Comissão"),0)</f>
        <v>0</v>
      </c>
      <c r="K6" s="177">
        <f t="shared" si="1"/>
        <v>0</v>
      </c>
    </row>
    <row r="7" ht="21.75" customHeight="1">
      <c r="A7" s="163" t="s">
        <v>313</v>
      </c>
      <c r="B7" s="76">
        <f>IFERROR(SUMIFS(Entradas!G:G,Entradas!A:A,"&gt;="&amp;DATE(2026,4,1),Entradas!A:A,"&lt;="&amp;EOMONTH(DATE(2026,4,1),0),Entradas!E:E,"Tráfego Pago"),0)</f>
        <v>0</v>
      </c>
      <c r="C7" s="76">
        <f>IFERROR(SUMIFS(Entradas!G:G,Entradas!A:A,"&gt;="&amp;DATE(2026,5,1),Entradas!A:A,"&lt;="&amp;EOMONTH(DATE(2026,5,1),0),Entradas!E:E,"Tráfego Pago"),0)</f>
        <v>0</v>
      </c>
      <c r="D7" s="76">
        <f>IFERROR(SUMIFS(Entradas!G:G,Entradas!A:A,"&gt;="&amp;DATE(2026,6,1),Entradas!A:A,"&lt;="&amp;EOMONTH(DATE(2026,6,1),0),Entradas!E:E,"Tráfego Pago"),0)</f>
        <v>0</v>
      </c>
      <c r="E7" s="76">
        <f>IFERROR(SUMIFS(Entradas!G:G,Entradas!A:A,"&gt;="&amp;DATE(2026,7,1),Entradas!A:A,"&lt;="&amp;EOMONTH(DATE(2026,7,1),0),Entradas!E:E,"Tráfego Pago"),0)</f>
        <v>0</v>
      </c>
      <c r="F7" s="76">
        <f>IFERROR(SUMIFS(Entradas!G:G,Entradas!A:A,"&gt;="&amp;DATE(2026,8,1),Entradas!A:A,"&lt;="&amp;EOMONTH(DATE(2026,8,1),0),Entradas!E:E,"Tráfego Pago"),0)</f>
        <v>0</v>
      </c>
      <c r="G7" s="76">
        <f>IFERROR(SUMIFS(Entradas!G:G,Entradas!A:A,"&gt;="&amp;DATE(2026,9,1),Entradas!A:A,"&lt;="&amp;EOMONTH(DATE(2026,9,1),0),Entradas!E:E,"Tráfego Pago"),0)</f>
        <v>0</v>
      </c>
      <c r="H7" s="76">
        <f>IFERROR(SUMIFS(Entradas!G:G,Entradas!A:A,"&gt;="&amp;DATE(2026,10,1),Entradas!A:A,"&lt;="&amp;EOMONTH(DATE(2026,10,1),0),Entradas!E:E,"Tráfego Pago"),0)</f>
        <v>0</v>
      </c>
      <c r="I7" s="76">
        <f>IFERROR(SUMIFS(Entradas!G:G,Entradas!A:A,"&gt;="&amp;DATE(2026,11,1),Entradas!A:A,"&lt;="&amp;EOMONTH(DATE(2026,11,1),0),Entradas!E:E,"Tráfego Pago"),0)</f>
        <v>0</v>
      </c>
      <c r="J7" s="76">
        <f>IFERROR(SUMIFS(Entradas!G:G,Entradas!A:A,"&gt;="&amp;DATE(2026,12,1),Entradas!A:A,"&lt;="&amp;EOMONTH(DATE(2026,12,1),0),Entradas!E:E,"Tráfego Pago"),0)</f>
        <v>0</v>
      </c>
      <c r="K7" s="177">
        <f t="shared" si="1"/>
        <v>0</v>
      </c>
    </row>
    <row r="8" ht="21.75" customHeight="1">
      <c r="A8" s="163" t="s">
        <v>335</v>
      </c>
      <c r="B8" s="76">
        <f>IFERROR(SUMIFS(Entradas!G:G,Entradas!A:A,"&gt;="&amp;DATE(2026,4,1),Entradas!A:A,"&lt;="&amp;EOMONTH(DATE(2026,4,1),0),Entradas!E:E,"Outros"),0)</f>
        <v>0</v>
      </c>
      <c r="C8" s="76">
        <f>IFERROR(SUMIFS(Entradas!G:G,Entradas!A:A,"&gt;="&amp;DATE(2026,5,1),Entradas!A:A,"&lt;="&amp;EOMONTH(DATE(2026,5,1),0),Entradas!E:E,"Outros"),0)</f>
        <v>0</v>
      </c>
      <c r="D8" s="76">
        <f>IFERROR(SUMIFS(Entradas!G:G,Entradas!A:A,"&gt;="&amp;DATE(2026,6,1),Entradas!A:A,"&lt;="&amp;EOMONTH(DATE(2026,6,1),0),Entradas!E:E,"Outros"),0)</f>
        <v>0</v>
      </c>
      <c r="E8" s="76">
        <f>IFERROR(SUMIFS(Entradas!G:G,Entradas!A:A,"&gt;="&amp;DATE(2026,7,1),Entradas!A:A,"&lt;="&amp;EOMONTH(DATE(2026,7,1),0),Entradas!E:E,"Outros"),0)</f>
        <v>0</v>
      </c>
      <c r="F8" s="76">
        <f>IFERROR(SUMIFS(Entradas!G:G,Entradas!A:A,"&gt;="&amp;DATE(2026,8,1),Entradas!A:A,"&lt;="&amp;EOMONTH(DATE(2026,8,1),0),Entradas!E:E,"Outros"),0)</f>
        <v>0</v>
      </c>
      <c r="G8" s="76">
        <f>IFERROR(SUMIFS(Entradas!G:G,Entradas!A:A,"&gt;="&amp;DATE(2026,9,1),Entradas!A:A,"&lt;="&amp;EOMONTH(DATE(2026,9,1),0),Entradas!E:E,"Outros"),0)</f>
        <v>0</v>
      </c>
      <c r="H8" s="76">
        <f>IFERROR(SUMIFS(Entradas!G:G,Entradas!A:A,"&gt;="&amp;DATE(2026,10,1),Entradas!A:A,"&lt;="&amp;EOMONTH(DATE(2026,10,1),0),Entradas!E:E,"Outros"),0)</f>
        <v>0</v>
      </c>
      <c r="I8" s="76">
        <f>IFERROR(SUMIFS(Entradas!G:G,Entradas!A:A,"&gt;="&amp;DATE(2026,11,1),Entradas!A:A,"&lt;="&amp;EOMONTH(DATE(2026,11,1),0),Entradas!E:E,"Outros"),0)</f>
        <v>0</v>
      </c>
      <c r="J8" s="76">
        <f>IFERROR(SUMIFS(Entradas!G:G,Entradas!A:A,"&gt;="&amp;DATE(2026,12,1),Entradas!A:A,"&lt;="&amp;EOMONTH(DATE(2026,12,1),0),Entradas!E:E,"Outros"),0)</f>
        <v>0</v>
      </c>
      <c r="K8" s="177">
        <f t="shared" si="1"/>
        <v>0</v>
      </c>
    </row>
    <row r="9" ht="21.75" customHeight="1">
      <c r="A9" s="185" t="s">
        <v>351</v>
      </c>
      <c r="B9" s="186">
        <f>IFERROR(B5*'Custos Fixos'!B21,0)</f>
        <v>0</v>
      </c>
      <c r="C9" s="186">
        <f>IFERROR(C5*'Custos Fixos'!B21,0)</f>
        <v>0</v>
      </c>
      <c r="D9" s="186">
        <f>IFERROR(D5*'Custos Fixos'!B21,0)</f>
        <v>0</v>
      </c>
      <c r="E9" s="186">
        <f>IFERROR(E5*'Custos Fixos'!B21,0)</f>
        <v>0</v>
      </c>
      <c r="F9" s="186">
        <f>IFERROR(F5*'Custos Fixos'!B21,0)</f>
        <v>0</v>
      </c>
      <c r="G9" s="186">
        <f>IFERROR(G5*'Custos Fixos'!B21,0)</f>
        <v>0</v>
      </c>
      <c r="H9" s="186">
        <f>IFERROR(H5*'Custos Fixos'!B21,0)</f>
        <v>0</v>
      </c>
      <c r="I9" s="186">
        <f>IFERROR(I5*'Custos Fixos'!B21,0)</f>
        <v>0</v>
      </c>
      <c r="J9" s="186">
        <f>IFERROR(J5*'Custos Fixos'!B21,0)</f>
        <v>0</v>
      </c>
      <c r="K9" s="186">
        <f t="shared" si="1"/>
        <v>0</v>
      </c>
    </row>
    <row r="10" ht="21.75" customHeight="1">
      <c r="A10" s="187" t="s">
        <v>359</v>
      </c>
      <c r="B10" s="188">
        <f t="shared" ref="B10:J10" si="2">IFERROR(B5-B9,0)</f>
        <v>15546.57</v>
      </c>
      <c r="C10" s="188">
        <f t="shared" si="2"/>
        <v>67162.93</v>
      </c>
      <c r="D10" s="188">
        <f t="shared" si="2"/>
        <v>55790.8</v>
      </c>
      <c r="E10" s="188">
        <f t="shared" si="2"/>
        <v>95008.96</v>
      </c>
      <c r="F10" s="188">
        <f t="shared" si="2"/>
        <v>0</v>
      </c>
      <c r="G10" s="188">
        <f t="shared" si="2"/>
        <v>0</v>
      </c>
      <c r="H10" s="188">
        <f t="shared" si="2"/>
        <v>0</v>
      </c>
      <c r="I10" s="188">
        <f t="shared" si="2"/>
        <v>0</v>
      </c>
      <c r="J10" s="188">
        <f t="shared" si="2"/>
        <v>0</v>
      </c>
      <c r="K10" s="188">
        <f t="shared" si="1"/>
        <v>233509.26</v>
      </c>
    </row>
    <row r="11" ht="21.75" customHeight="1">
      <c r="A11" s="185" t="s">
        <v>362</v>
      </c>
      <c r="B11" s="186">
        <f>IFERROR(SUMIFS(Saidas!F:F,Saidas!A:A,"&gt;="&amp;DATE(2026,4,1),Saidas!A:A,"&lt;="&amp;EOMONTH(DATE(2026,4,1),0)),0)</f>
        <v>4722.73</v>
      </c>
      <c r="C11" s="186">
        <f>IFERROR(SUMIFS(Saidas!F:F,Saidas!A:A,"&gt;="&amp;DATE(2026,5,1),Saidas!A:A,"&lt;="&amp;EOMONTH(DATE(2026,5,1),0)),0)</f>
        <v>46570</v>
      </c>
      <c r="D11" s="186">
        <f>IFERROR(SUMIFS(Saidas!F:F,Saidas!A:A,"&gt;="&amp;DATE(2026,6,1),Saidas!A:A,"&lt;="&amp;EOMONTH(DATE(2026,6,1),0)),0)</f>
        <v>56761.47</v>
      </c>
      <c r="E11" s="186">
        <f>IFERROR(SUMIFS(Saidas!F:F,Saidas!A:A,"&gt;="&amp;DATE(2026,7,1),Saidas!A:A,"&lt;="&amp;EOMONTH(DATE(2026,7,1),0)),0)</f>
        <v>77437.04</v>
      </c>
      <c r="F11" s="186">
        <f>IFERROR(SUMIFS(Saidas!F:F,Saidas!A:A,"&gt;="&amp;DATE(2026,8,1),Saidas!A:A,"&lt;="&amp;EOMONTH(DATE(2026,8,1),0)),0)</f>
        <v>0</v>
      </c>
      <c r="G11" s="186">
        <f>IFERROR(SUMIFS(Saidas!F:F,Saidas!A:A,"&gt;="&amp;DATE(2026,9,1),Saidas!A:A,"&lt;="&amp;EOMONTH(DATE(2026,9,1),0)),0)</f>
        <v>0</v>
      </c>
      <c r="H11" s="186">
        <f>IFERROR(SUMIFS(Saidas!F:F,Saidas!A:A,"&gt;="&amp;DATE(2026,10,1),Saidas!A:A,"&lt;="&amp;EOMONTH(DATE(2026,10,1),0)),0)</f>
        <v>0</v>
      </c>
      <c r="I11" s="186">
        <f>IFERROR(SUMIFS(Saidas!F:F,Saidas!A:A,"&gt;="&amp;DATE(2026,11,1),Saidas!A:A,"&lt;="&amp;EOMONTH(DATE(2026,11,1),0)),0)</f>
        <v>0</v>
      </c>
      <c r="J11" s="186">
        <f>IFERROR(SUMIFS(Saidas!F:F,Saidas!A:A,"&gt;="&amp;DATE(2026,12,1),Saidas!A:A,"&lt;="&amp;EOMONTH(DATE(2026,12,1),0)),0)</f>
        <v>0</v>
      </c>
      <c r="K11" s="186">
        <f t="shared" si="1"/>
        <v>185491.24</v>
      </c>
    </row>
    <row r="12" ht="21.75" customHeight="1">
      <c r="A12" s="194" t="s">
        <v>372</v>
      </c>
      <c r="B12" s="77">
        <f>IFERROR(SUMIFS(Saidas!F:F,Saidas!A:A,"&gt;="&amp;DATE(2026,4,1),Saidas!A:A,"&lt;="&amp;EOMONTH(DATE(2026,4,1),0),Saidas!D:D,"Marketing"),0)</f>
        <v>4400</v>
      </c>
      <c r="C12" s="77">
        <f>IFERROR(SUMIFS(Saidas!F:F,Saidas!A:A,"&gt;="&amp;DATE(2026,5,1),Saidas!A:A,"&lt;="&amp;EOMONTH(DATE(2026,5,1),0),Saidas!D:D,"Marketing"),0)</f>
        <v>21936.04</v>
      </c>
      <c r="D12" s="77">
        <f>IFERROR(SUMIFS(Saidas!F:F,Saidas!A:A,"&gt;="&amp;DATE(2026,6,1),Saidas!A:A,"&lt;="&amp;EOMONTH(DATE(2026,6,1),0),Saidas!D:D,"Marketing"),0)</f>
        <v>19229</v>
      </c>
      <c r="E12" s="77">
        <f>IFERROR(SUMIFS(Saidas!F:F,Saidas!A:A,"&gt;="&amp;DATE(2026,7,1),Saidas!A:A,"&lt;="&amp;EOMONTH(DATE(2026,7,1),0),Saidas!D:D,"Marketing"),0)</f>
        <v>33951.62</v>
      </c>
      <c r="F12" s="77">
        <f>IFERROR(SUMIFS(Saidas!F:F,Saidas!A:A,"&gt;="&amp;DATE(2026,8,1),Saidas!A:A,"&lt;="&amp;EOMONTH(DATE(2026,8,1),0),Saidas!D:D,"Marketing"),0)</f>
        <v>0</v>
      </c>
      <c r="G12" s="77">
        <f>IFERROR(SUMIFS(Saidas!F:F,Saidas!A:A,"&gt;="&amp;DATE(2026,9,1),Saidas!A:A,"&lt;="&amp;EOMONTH(DATE(2026,9,1),0),Saidas!D:D,"Marketing"),0)</f>
        <v>0</v>
      </c>
      <c r="H12" s="77">
        <f>IFERROR(SUMIFS(Saidas!F:F,Saidas!A:A,"&gt;="&amp;DATE(2026,10,1),Saidas!A:A,"&lt;="&amp;EOMONTH(DATE(2026,10,1),0),Saidas!D:D,"Marketing"),0)</f>
        <v>0</v>
      </c>
      <c r="I12" s="77">
        <f>IFERROR(SUMIFS(Saidas!F:F,Saidas!A:A,"&gt;="&amp;DATE(2026,11,1),Saidas!A:A,"&lt;="&amp;EOMONTH(DATE(2026,11,1),0),Saidas!D:D,"Marketing"),0)</f>
        <v>0</v>
      </c>
      <c r="J12" s="77">
        <f>IFERROR(SUMIFS(Saidas!F:F,Saidas!A:A,"&gt;="&amp;DATE(2026,12,1),Saidas!A:A,"&lt;="&amp;EOMONTH(DATE(2026,12,1),0),Saidas!D:D,"Marketing"),0)</f>
        <v>0</v>
      </c>
      <c r="K12" s="197">
        <f t="shared" si="1"/>
        <v>79516.66</v>
      </c>
    </row>
    <row r="13" ht="21.75" customHeight="1">
      <c r="A13" s="194" t="s">
        <v>380</v>
      </c>
      <c r="B13" s="77">
        <f>IFERROR(SUMIFS(Saidas!F:F,Saidas!A:A,"&gt;="&amp;DATE(2026,4,1),Saidas!A:A,"&lt;="&amp;EOMONTH(DATE(2026,4,1),0),Saidas!D:D,"Alimentação"),0)</f>
        <v>0</v>
      </c>
      <c r="C13" s="77">
        <f>IFERROR(SUMIFS(Saidas!F:F,Saidas!A:A,"&gt;="&amp;DATE(2026,5,1),Saidas!A:A,"&lt;="&amp;EOMONTH(DATE(2026,5,1),0),Saidas!D:D,"Alimentação"),0)</f>
        <v>0</v>
      </c>
      <c r="D13" s="77">
        <f>IFERROR(SUMIFS(Saidas!F:F,Saidas!A:A,"&gt;="&amp;DATE(2026,6,1),Saidas!A:A,"&lt;="&amp;EOMONTH(DATE(2026,6,1),0),Saidas!D:D,"Alimentação"),0)</f>
        <v>0</v>
      </c>
      <c r="E13" s="77">
        <f>IFERROR(SUMIFS(Saidas!F:F,Saidas!A:A,"&gt;="&amp;DATE(2026,7,1),Saidas!A:A,"&lt;="&amp;EOMONTH(DATE(2026,7,1),0),Saidas!D:D,"Alimentação"),0)</f>
        <v>0</v>
      </c>
      <c r="F13" s="77">
        <f>IFERROR(SUMIFS(Saidas!F:F,Saidas!A:A,"&gt;="&amp;DATE(2026,8,1),Saidas!A:A,"&lt;="&amp;EOMONTH(DATE(2026,8,1),0),Saidas!D:D,"Alimentação"),0)</f>
        <v>0</v>
      </c>
      <c r="G13" s="77">
        <f>IFERROR(SUMIFS(Saidas!F:F,Saidas!A:A,"&gt;="&amp;DATE(2026,9,1),Saidas!A:A,"&lt;="&amp;EOMONTH(DATE(2026,9,1),0),Saidas!D:D,"Alimentação"),0)</f>
        <v>0</v>
      </c>
      <c r="H13" s="77">
        <f>IFERROR(SUMIFS(Saidas!F:F,Saidas!A:A,"&gt;="&amp;DATE(2026,10,1),Saidas!A:A,"&lt;="&amp;EOMONTH(DATE(2026,10,1),0),Saidas!D:D,"Alimentação"),0)</f>
        <v>0</v>
      </c>
      <c r="I13" s="77">
        <f>IFERROR(SUMIFS(Saidas!F:F,Saidas!A:A,"&gt;="&amp;DATE(2026,11,1),Saidas!A:A,"&lt;="&amp;EOMONTH(DATE(2026,11,1),0),Saidas!D:D,"Alimentação"),0)</f>
        <v>0</v>
      </c>
      <c r="J13" s="77">
        <f>IFERROR(SUMIFS(Saidas!F:F,Saidas!A:A,"&gt;="&amp;DATE(2026,12,1),Saidas!A:A,"&lt;="&amp;EOMONTH(DATE(2026,12,1),0),Saidas!D:D,"Alimentação"),0)</f>
        <v>0</v>
      </c>
      <c r="K13" s="197">
        <f t="shared" si="1"/>
        <v>0</v>
      </c>
    </row>
    <row r="14" ht="21.75" customHeight="1">
      <c r="A14" s="194" t="s">
        <v>390</v>
      </c>
      <c r="B14" s="77">
        <f>IFERROR(SUMIFS(Saidas!F:F,Saidas!A:A,"&gt;="&amp;DATE(2026,4,1),Saidas!A:A,"&lt;="&amp;EOMONTH(DATE(2026,4,1),0),Saidas!D:D,"Transporte"),0)</f>
        <v>0</v>
      </c>
      <c r="C14" s="77">
        <f>IFERROR(SUMIFS(Saidas!F:F,Saidas!A:A,"&gt;="&amp;DATE(2026,5,1),Saidas!A:A,"&lt;="&amp;EOMONTH(DATE(2026,5,1),0),Saidas!D:D,"Transporte"),0)</f>
        <v>0</v>
      </c>
      <c r="D14" s="77">
        <f>IFERROR(SUMIFS(Saidas!F:F,Saidas!A:A,"&gt;="&amp;DATE(2026,6,1),Saidas!A:A,"&lt;="&amp;EOMONTH(DATE(2026,6,1),0),Saidas!D:D,"Transporte"),0)</f>
        <v>0</v>
      </c>
      <c r="E14" s="77">
        <f>IFERROR(SUMIFS(Saidas!F:F,Saidas!A:A,"&gt;="&amp;DATE(2026,7,1),Saidas!A:A,"&lt;="&amp;EOMONTH(DATE(2026,7,1),0),Saidas!D:D,"Transporte"),0)</f>
        <v>0</v>
      </c>
      <c r="F14" s="77">
        <f>IFERROR(SUMIFS(Saidas!F:F,Saidas!A:A,"&gt;="&amp;DATE(2026,8,1),Saidas!A:A,"&lt;="&amp;EOMONTH(DATE(2026,8,1),0),Saidas!D:D,"Transporte"),0)</f>
        <v>0</v>
      </c>
      <c r="G14" s="77">
        <f>IFERROR(SUMIFS(Saidas!F:F,Saidas!A:A,"&gt;="&amp;DATE(2026,9,1),Saidas!A:A,"&lt;="&amp;EOMONTH(DATE(2026,9,1),0),Saidas!D:D,"Transporte"),0)</f>
        <v>0</v>
      </c>
      <c r="H14" s="77">
        <f>IFERROR(SUMIFS(Saidas!F:F,Saidas!A:A,"&gt;="&amp;DATE(2026,10,1),Saidas!A:A,"&lt;="&amp;EOMONTH(DATE(2026,10,1),0),Saidas!D:D,"Transporte"),0)</f>
        <v>0</v>
      </c>
      <c r="I14" s="77">
        <f>IFERROR(SUMIFS(Saidas!F:F,Saidas!A:A,"&gt;="&amp;DATE(2026,11,1),Saidas!A:A,"&lt;="&amp;EOMONTH(DATE(2026,11,1),0),Saidas!D:D,"Transporte"),0)</f>
        <v>0</v>
      </c>
      <c r="J14" s="77">
        <f>IFERROR(SUMIFS(Saidas!F:F,Saidas!A:A,"&gt;="&amp;DATE(2026,12,1),Saidas!A:A,"&lt;="&amp;EOMONTH(DATE(2026,12,1),0),Saidas!D:D,"Transporte"),0)</f>
        <v>0</v>
      </c>
      <c r="K14" s="197">
        <f t="shared" si="1"/>
        <v>0</v>
      </c>
    </row>
    <row r="15" ht="21.75" customHeight="1">
      <c r="A15" s="194" t="s">
        <v>413</v>
      </c>
      <c r="B15" s="77">
        <f>IFERROR(SUMIFS(Saidas!F:F,Saidas!A:A,"&gt;="&amp;DATE(2026,4,1),Saidas!A:A,"&lt;="&amp;EOMONTH(DATE(2026,4,1),0),Saidas!D:D,"Software"),0)</f>
        <v>0</v>
      </c>
      <c r="C15" s="77">
        <f>IFERROR(SUMIFS(Saidas!F:F,Saidas!A:A,"&gt;="&amp;DATE(2026,5,1),Saidas!A:A,"&lt;="&amp;EOMONTH(DATE(2026,5,1),0),Saidas!D:D,"Software"),0)</f>
        <v>0</v>
      </c>
      <c r="D15" s="77">
        <f>IFERROR(SUMIFS(Saidas!F:F,Saidas!A:A,"&gt;="&amp;DATE(2026,6,1),Saidas!A:A,"&lt;="&amp;EOMONTH(DATE(2026,6,1),0),Saidas!D:D,"Software"),0)</f>
        <v>0</v>
      </c>
      <c r="E15" s="77">
        <f>IFERROR(SUMIFS(Saidas!F:F,Saidas!A:A,"&gt;="&amp;DATE(2026,7,1),Saidas!A:A,"&lt;="&amp;EOMONTH(DATE(2026,7,1),0),Saidas!D:D,"Software"),0)</f>
        <v>0</v>
      </c>
      <c r="F15" s="77">
        <f>IFERROR(SUMIFS(Saidas!F:F,Saidas!A:A,"&gt;="&amp;DATE(2026,8,1),Saidas!A:A,"&lt;="&amp;EOMONTH(DATE(2026,8,1),0),Saidas!D:D,"Software"),0)</f>
        <v>0</v>
      </c>
      <c r="G15" s="77">
        <f>IFERROR(SUMIFS(Saidas!F:F,Saidas!A:A,"&gt;="&amp;DATE(2026,9,1),Saidas!A:A,"&lt;="&amp;EOMONTH(DATE(2026,9,1),0),Saidas!D:D,"Software"),0)</f>
        <v>0</v>
      </c>
      <c r="H15" s="77">
        <f>IFERROR(SUMIFS(Saidas!F:F,Saidas!A:A,"&gt;="&amp;DATE(2026,10,1),Saidas!A:A,"&lt;="&amp;EOMONTH(DATE(2026,10,1),0),Saidas!D:D,"Software"),0)</f>
        <v>0</v>
      </c>
      <c r="I15" s="77">
        <f>IFERROR(SUMIFS(Saidas!F:F,Saidas!A:A,"&gt;="&amp;DATE(2026,11,1),Saidas!A:A,"&lt;="&amp;EOMONTH(DATE(2026,11,1),0),Saidas!D:D,"Software"),0)</f>
        <v>0</v>
      </c>
      <c r="J15" s="77">
        <f>IFERROR(SUMIFS(Saidas!F:F,Saidas!A:A,"&gt;="&amp;DATE(2026,12,1),Saidas!A:A,"&lt;="&amp;EOMONTH(DATE(2026,12,1),0),Saidas!D:D,"Software"),0)</f>
        <v>0</v>
      </c>
      <c r="K15" s="197">
        <f t="shared" si="1"/>
        <v>0</v>
      </c>
    </row>
    <row r="16" ht="21.75" customHeight="1">
      <c r="A16" s="194" t="s">
        <v>428</v>
      </c>
      <c r="B16" s="77">
        <f>IFERROR(SUMIFS(Saidas!F:F,Saidas!A:A,"&gt;="&amp;DATE(2026,4,1),Saidas!A:A,"&lt;="&amp;EOMONTH(DATE(2026,4,1),0),Saidas!D:D,"Outros"),0)</f>
        <v>0</v>
      </c>
      <c r="C16" s="77">
        <f>IFERROR(SUMIFS(Saidas!F:F,Saidas!A:A,"&gt;="&amp;DATE(2026,5,1),Saidas!A:A,"&lt;="&amp;EOMONTH(DATE(2026,5,1),0),Saidas!D:D,"Outros"),0)</f>
        <v>0</v>
      </c>
      <c r="D16" s="77">
        <f>IFERROR(SUMIFS(Saidas!F:F,Saidas!A:A,"&gt;="&amp;DATE(2026,6,1),Saidas!A:A,"&lt;="&amp;EOMONTH(DATE(2026,6,1),0),Saidas!D:D,"Outros"),0)</f>
        <v>0</v>
      </c>
      <c r="E16" s="77">
        <f>IFERROR(SUMIFS(Saidas!F:F,Saidas!A:A,"&gt;="&amp;DATE(2026,7,1),Saidas!A:A,"&lt;="&amp;EOMONTH(DATE(2026,7,1),0),Saidas!D:D,"Outros"),0)</f>
        <v>0</v>
      </c>
      <c r="F16" s="77">
        <f>IFERROR(SUMIFS(Saidas!F:F,Saidas!A:A,"&gt;="&amp;DATE(2026,8,1),Saidas!A:A,"&lt;="&amp;EOMONTH(DATE(2026,8,1),0),Saidas!D:D,"Outros"),0)</f>
        <v>0</v>
      </c>
      <c r="G16" s="77">
        <f>IFERROR(SUMIFS(Saidas!F:F,Saidas!A:A,"&gt;="&amp;DATE(2026,9,1),Saidas!A:A,"&lt;="&amp;EOMONTH(DATE(2026,9,1),0),Saidas!D:D,"Outros"),0)</f>
        <v>0</v>
      </c>
      <c r="H16" s="77">
        <f>IFERROR(SUMIFS(Saidas!F:F,Saidas!A:A,"&gt;="&amp;DATE(2026,10,1),Saidas!A:A,"&lt;="&amp;EOMONTH(DATE(2026,10,1),0),Saidas!D:D,"Outros"),0)</f>
        <v>0</v>
      </c>
      <c r="I16" s="77">
        <f>IFERROR(SUMIFS(Saidas!F:F,Saidas!A:A,"&gt;="&amp;DATE(2026,11,1),Saidas!A:A,"&lt;="&amp;EOMONTH(DATE(2026,11,1),0),Saidas!D:D,"Outros"),0)</f>
        <v>0</v>
      </c>
      <c r="J16" s="77">
        <f>IFERROR(SUMIFS(Saidas!F:F,Saidas!A:A,"&gt;="&amp;DATE(2026,12,1),Saidas!A:A,"&lt;="&amp;EOMONTH(DATE(2026,12,1),0),Saidas!D:D,"Outros"),0)</f>
        <v>0</v>
      </c>
      <c r="K16" s="197">
        <f t="shared" si="1"/>
        <v>0</v>
      </c>
    </row>
    <row r="17" ht="21.75" customHeight="1">
      <c r="A17" s="211" t="s">
        <v>442</v>
      </c>
      <c r="B17" s="213" t="str">
        <f>IFERROR('Custos Fixos'!B19,0)</f>
        <v/>
      </c>
      <c r="C17" s="213" t="str">
        <f>IFERROR('Custos Fixos'!B19,0)</f>
        <v/>
      </c>
      <c r="D17" s="213" t="str">
        <f>IFERROR('Custos Fixos'!B19,0)</f>
        <v/>
      </c>
      <c r="E17" s="213" t="str">
        <f>IFERROR('Custos Fixos'!B19,0)</f>
        <v/>
      </c>
      <c r="F17" s="213" t="str">
        <f>IFERROR('Custos Fixos'!B19,0)</f>
        <v/>
      </c>
      <c r="G17" s="213" t="str">
        <f>IFERROR('Custos Fixos'!B19,0)</f>
        <v/>
      </c>
      <c r="H17" s="213" t="str">
        <f>IFERROR('Custos Fixos'!B19,0)</f>
        <v/>
      </c>
      <c r="I17" s="213" t="str">
        <f>IFERROR('Custos Fixos'!B19,0)</f>
        <v/>
      </c>
      <c r="J17" s="213" t="str">
        <f>IFERROR('Custos Fixos'!B19,0)</f>
        <v/>
      </c>
      <c r="K17" s="213">
        <f>IFERROR('Custos Fixos'!B19*9,0)</f>
        <v>0</v>
      </c>
    </row>
    <row r="18" ht="21.75" customHeight="1">
      <c r="A18" s="187" t="s">
        <v>448</v>
      </c>
      <c r="B18" s="188">
        <f t="shared" ref="B18:J18" si="3">IFERROR(B10-B11-B17,0)</f>
        <v>10823.84</v>
      </c>
      <c r="C18" s="188">
        <f t="shared" si="3"/>
        <v>20592.93</v>
      </c>
      <c r="D18" s="188">
        <f t="shared" si="3"/>
        <v>-970.67</v>
      </c>
      <c r="E18" s="188">
        <f t="shared" si="3"/>
        <v>17571.92</v>
      </c>
      <c r="F18" s="188">
        <f t="shared" si="3"/>
        <v>0</v>
      </c>
      <c r="G18" s="188">
        <f t="shared" si="3"/>
        <v>0</v>
      </c>
      <c r="H18" s="188">
        <f t="shared" si="3"/>
        <v>0</v>
      </c>
      <c r="I18" s="188">
        <f t="shared" si="3"/>
        <v>0</v>
      </c>
      <c r="J18" s="188">
        <f t="shared" si="3"/>
        <v>0</v>
      </c>
      <c r="K18" s="188">
        <f t="shared" ref="K18:K20" si="4">SUM(B18:J18)</f>
        <v>48018.02</v>
      </c>
    </row>
    <row r="19" ht="21.75" customHeight="1">
      <c r="A19" s="185" t="s">
        <v>451</v>
      </c>
      <c r="B19" s="186">
        <f>IFERROR(MAX(0,B18*'Custos Fixos'!B22),0)</f>
        <v>0</v>
      </c>
      <c r="C19" s="186">
        <f>IFERROR(MAX(0,C18*'Custos Fixos'!B22),0)</f>
        <v>0</v>
      </c>
      <c r="D19" s="186">
        <f>IFERROR(MAX(0,D18*'Custos Fixos'!B22),0)</f>
        <v>0</v>
      </c>
      <c r="E19" s="186">
        <f>IFERROR(MAX(0,E18*'Custos Fixos'!B22),0)</f>
        <v>0</v>
      </c>
      <c r="F19" s="186">
        <f>IFERROR(MAX(0,F18*'Custos Fixos'!B22),0)</f>
        <v>0</v>
      </c>
      <c r="G19" s="186">
        <f>IFERROR(MAX(0,G18*'Custos Fixos'!B22),0)</f>
        <v>0</v>
      </c>
      <c r="H19" s="186">
        <f>IFERROR(MAX(0,H18*'Custos Fixos'!B22),0)</f>
        <v>0</v>
      </c>
      <c r="I19" s="186">
        <f>IFERROR(MAX(0,I18*'Custos Fixos'!B22),0)</f>
        <v>0</v>
      </c>
      <c r="J19" s="186">
        <f>IFERROR(MAX(0,J18*'Custos Fixos'!B22),0)</f>
        <v>0</v>
      </c>
      <c r="K19" s="186">
        <f t="shared" si="4"/>
        <v>0</v>
      </c>
    </row>
    <row r="20" ht="21.75" customHeight="1">
      <c r="A20" s="161" t="s">
        <v>454</v>
      </c>
      <c r="B20" s="221">
        <f t="shared" ref="B20:J20" si="5">IFERROR(B18-B19,0)</f>
        <v>10823.84</v>
      </c>
      <c r="C20" s="221">
        <f t="shared" si="5"/>
        <v>20592.93</v>
      </c>
      <c r="D20" s="221">
        <f t="shared" si="5"/>
        <v>-970.67</v>
      </c>
      <c r="E20" s="221">
        <f t="shared" si="5"/>
        <v>17571.92</v>
      </c>
      <c r="F20" s="221">
        <f t="shared" si="5"/>
        <v>0</v>
      </c>
      <c r="G20" s="221">
        <f t="shared" si="5"/>
        <v>0</v>
      </c>
      <c r="H20" s="221">
        <f t="shared" si="5"/>
        <v>0</v>
      </c>
      <c r="I20" s="221">
        <f t="shared" si="5"/>
        <v>0</v>
      </c>
      <c r="J20" s="221">
        <f t="shared" si="5"/>
        <v>0</v>
      </c>
      <c r="K20" s="221">
        <f t="shared" si="4"/>
        <v>48018.02</v>
      </c>
    </row>
    <row r="21" ht="21.75" customHeight="1">
      <c r="A21" s="187" t="s">
        <v>456</v>
      </c>
      <c r="B21" s="222">
        <f t="shared" ref="B21:K21" si="6">IFERROR(B20/B5,0)</f>
        <v>0.6962204525</v>
      </c>
      <c r="C21" s="222">
        <f t="shared" si="6"/>
        <v>0.306611549</v>
      </c>
      <c r="D21" s="222">
        <f t="shared" si="6"/>
        <v>-0.01739838826</v>
      </c>
      <c r="E21" s="222">
        <f t="shared" si="6"/>
        <v>0.1849501352</v>
      </c>
      <c r="F21" s="222">
        <f t="shared" si="6"/>
        <v>0</v>
      </c>
      <c r="G21" s="222">
        <f t="shared" si="6"/>
        <v>0</v>
      </c>
      <c r="H21" s="222">
        <f t="shared" si="6"/>
        <v>0</v>
      </c>
      <c r="I21" s="222">
        <f t="shared" si="6"/>
        <v>0</v>
      </c>
      <c r="J21" s="222">
        <f t="shared" si="6"/>
        <v>0</v>
      </c>
      <c r="K21" s="222">
        <f t="shared" si="6"/>
        <v>0.2056364703</v>
      </c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24.0"/>
    <col customWidth="1" min="3" max="3" width="14.0"/>
    <col customWidth="1" min="4" max="4" width="16.0"/>
    <col customWidth="1" min="5" max="6" width="14.0"/>
    <col customWidth="1" min="7" max="7" width="12.0"/>
    <col customWidth="1" min="8" max="8" width="16.0"/>
    <col customWidth="1" min="9" max="9" width="30.0"/>
    <col customWidth="1" min="10" max="19" width="8.71"/>
  </cols>
  <sheetData>
    <row r="1" ht="33.75" customHeight="1">
      <c r="A1" s="5" t="s">
        <v>295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8" t="s">
        <v>296</v>
      </c>
      <c r="B2" s="2"/>
      <c r="C2" s="2"/>
      <c r="D2" s="2"/>
      <c r="E2" s="2"/>
      <c r="F2" s="2"/>
      <c r="G2" s="2"/>
      <c r="H2" s="2"/>
      <c r="I2" s="4"/>
    </row>
    <row r="3" ht="24.0" customHeight="1">
      <c r="A3" s="165" t="s">
        <v>7</v>
      </c>
      <c r="B3" s="165" t="s">
        <v>297</v>
      </c>
      <c r="C3" s="165" t="s">
        <v>10</v>
      </c>
      <c r="D3" s="165" t="s">
        <v>13</v>
      </c>
      <c r="E3" s="165" t="s">
        <v>299</v>
      </c>
      <c r="F3" s="165" t="s">
        <v>17</v>
      </c>
      <c r="G3" s="165" t="s">
        <v>301</v>
      </c>
      <c r="H3" s="165" t="s">
        <v>302</v>
      </c>
      <c r="I3" s="165" t="s">
        <v>14</v>
      </c>
    </row>
    <row r="4" ht="25.5" customHeight="1">
      <c r="A4" s="166" t="s">
        <v>303</v>
      </c>
      <c r="B4" s="167"/>
      <c r="C4" s="168"/>
      <c r="D4" s="169">
        <f>IFERROR(SUMIF(G5:G24,"Pendente",D5:D24)+SUMIF(G5:G24,"Atrasado",D5:D24),0)</f>
        <v>35167.53</v>
      </c>
      <c r="E4" s="170"/>
      <c r="F4" s="171"/>
      <c r="G4" s="172"/>
      <c r="H4" s="173"/>
      <c r="I4" s="171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9.5" customHeight="1">
      <c r="A5" s="29" t="s">
        <v>306</v>
      </c>
      <c r="B5" s="29" t="s">
        <v>59</v>
      </c>
      <c r="C5" s="29" t="s">
        <v>22</v>
      </c>
      <c r="D5" s="174">
        <v>5923.32</v>
      </c>
      <c r="E5" s="27">
        <v>46130.0</v>
      </c>
      <c r="F5" s="29" t="s">
        <v>66</v>
      </c>
      <c r="G5" s="175" t="s">
        <v>309</v>
      </c>
      <c r="H5" s="27">
        <v>46130.0</v>
      </c>
      <c r="I5" s="29"/>
      <c r="J5" s="176"/>
      <c r="K5" s="24"/>
      <c r="L5" s="24"/>
      <c r="M5" s="24"/>
      <c r="N5" s="24"/>
      <c r="O5" s="24"/>
      <c r="P5" s="24"/>
      <c r="Q5" s="24"/>
      <c r="R5" s="24"/>
      <c r="S5" s="24"/>
    </row>
    <row r="6" ht="19.5" customHeight="1">
      <c r="A6" s="14" t="s">
        <v>311</v>
      </c>
      <c r="B6" s="14" t="s">
        <v>59</v>
      </c>
      <c r="C6" s="14" t="s">
        <v>22</v>
      </c>
      <c r="D6" s="178">
        <v>6521.86</v>
      </c>
      <c r="E6" s="27">
        <v>46135.0</v>
      </c>
      <c r="F6" s="14" t="s">
        <v>66</v>
      </c>
      <c r="G6" s="175" t="s">
        <v>309</v>
      </c>
      <c r="H6" s="27">
        <v>46135.0</v>
      </c>
      <c r="I6" s="14"/>
      <c r="J6" s="176"/>
      <c r="K6" s="24"/>
      <c r="L6" s="24"/>
      <c r="M6" s="24"/>
      <c r="N6" s="24"/>
      <c r="O6" s="24"/>
      <c r="P6" s="24"/>
      <c r="Q6" s="24"/>
      <c r="R6" s="24"/>
      <c r="S6" s="24"/>
    </row>
    <row r="7" ht="20.25" customHeight="1">
      <c r="A7" s="14" t="s">
        <v>314</v>
      </c>
      <c r="B7" s="14" t="s">
        <v>91</v>
      </c>
      <c r="C7" s="14" t="s">
        <v>22</v>
      </c>
      <c r="D7" s="178">
        <v>6648.8</v>
      </c>
      <c r="E7" s="27">
        <v>46051.0</v>
      </c>
      <c r="F7" s="14" t="s">
        <v>66</v>
      </c>
      <c r="G7" s="175" t="s">
        <v>309</v>
      </c>
      <c r="H7" s="27">
        <v>46051.0</v>
      </c>
      <c r="I7" s="14"/>
      <c r="J7" s="176"/>
      <c r="K7" s="24"/>
      <c r="L7" s="24"/>
      <c r="M7" s="24"/>
      <c r="N7" s="24"/>
      <c r="O7" s="24"/>
      <c r="P7" s="24"/>
      <c r="Q7" s="24"/>
      <c r="R7" s="24"/>
      <c r="S7" s="24"/>
    </row>
    <row r="8" ht="19.5" customHeight="1">
      <c r="A8" s="29" t="s">
        <v>317</v>
      </c>
      <c r="B8" s="29" t="s">
        <v>91</v>
      </c>
      <c r="C8" s="29" t="s">
        <v>22</v>
      </c>
      <c r="D8" s="174">
        <v>2237.75</v>
      </c>
      <c r="E8" s="27">
        <v>46235.0</v>
      </c>
      <c r="F8" s="29" t="s">
        <v>66</v>
      </c>
      <c r="G8" s="175" t="s">
        <v>318</v>
      </c>
      <c r="H8" s="69">
        <v>46260.0</v>
      </c>
      <c r="I8" s="29"/>
      <c r="J8" s="176"/>
      <c r="K8" s="24"/>
      <c r="L8" s="24"/>
      <c r="M8" s="24"/>
      <c r="N8" s="24"/>
      <c r="O8" s="24"/>
      <c r="P8" s="24"/>
      <c r="Q8" s="24"/>
      <c r="R8" s="24"/>
      <c r="S8" s="24"/>
    </row>
    <row r="9" ht="19.5" customHeight="1">
      <c r="A9" s="14" t="s">
        <v>320</v>
      </c>
      <c r="B9" s="14" t="s">
        <v>91</v>
      </c>
      <c r="C9" s="14" t="s">
        <v>22</v>
      </c>
      <c r="D9" s="178">
        <v>6262.2</v>
      </c>
      <c r="E9" s="27">
        <v>46203.0</v>
      </c>
      <c r="F9" s="14" t="s">
        <v>66</v>
      </c>
      <c r="G9" s="175" t="s">
        <v>318</v>
      </c>
      <c r="H9" s="69">
        <v>46260.0</v>
      </c>
      <c r="I9" s="14"/>
      <c r="J9" s="176"/>
      <c r="K9" s="24"/>
      <c r="L9" s="24"/>
      <c r="M9" s="24"/>
      <c r="N9" s="24"/>
      <c r="O9" s="24"/>
      <c r="P9" s="24"/>
      <c r="Q9" s="24"/>
      <c r="R9" s="24"/>
      <c r="S9" s="24"/>
    </row>
    <row r="10" ht="19.5" customHeight="1">
      <c r="A10" s="29" t="s">
        <v>322</v>
      </c>
      <c r="B10" s="29" t="s">
        <v>91</v>
      </c>
      <c r="C10" s="29" t="s">
        <v>22</v>
      </c>
      <c r="D10" s="174">
        <v>6219.34</v>
      </c>
      <c r="E10" s="27">
        <v>46203.0</v>
      </c>
      <c r="F10" s="29" t="s">
        <v>66</v>
      </c>
      <c r="G10" s="175" t="s">
        <v>318</v>
      </c>
      <c r="H10" s="69">
        <v>46260.0</v>
      </c>
      <c r="I10" s="29"/>
      <c r="J10" s="176"/>
      <c r="K10" s="24"/>
      <c r="L10" s="24"/>
      <c r="M10" s="24"/>
      <c r="N10" s="24"/>
      <c r="O10" s="24"/>
      <c r="P10" s="24"/>
      <c r="Q10" s="24"/>
      <c r="R10" s="24"/>
      <c r="S10" s="24"/>
    </row>
    <row r="11" ht="19.5" customHeight="1">
      <c r="A11" s="14" t="s">
        <v>323</v>
      </c>
      <c r="B11" s="14" t="s">
        <v>116</v>
      </c>
      <c r="C11" s="14" t="s">
        <v>22</v>
      </c>
      <c r="D11" s="178">
        <v>6486.58</v>
      </c>
      <c r="E11" s="27">
        <v>46235.0</v>
      </c>
      <c r="F11" s="14" t="s">
        <v>66</v>
      </c>
      <c r="G11" s="175" t="s">
        <v>309</v>
      </c>
      <c r="H11" s="27">
        <v>46235.0</v>
      </c>
      <c r="I11" s="14" t="s">
        <v>325</v>
      </c>
      <c r="J11" s="176"/>
      <c r="K11" s="24"/>
      <c r="L11" s="24"/>
      <c r="M11" s="24"/>
      <c r="N11" s="24"/>
      <c r="O11" s="24"/>
      <c r="P11" s="24"/>
      <c r="Q11" s="24"/>
      <c r="R11" s="24"/>
      <c r="S11" s="24"/>
    </row>
    <row r="12" ht="19.5" customHeight="1">
      <c r="A12" s="29" t="s">
        <v>327</v>
      </c>
      <c r="B12" s="29" t="s">
        <v>53</v>
      </c>
      <c r="C12" s="29" t="s">
        <v>22</v>
      </c>
      <c r="D12" s="174">
        <v>6752.9</v>
      </c>
      <c r="E12" s="27">
        <v>46203.0</v>
      </c>
      <c r="F12" s="29" t="s">
        <v>66</v>
      </c>
      <c r="G12" s="175" t="s">
        <v>309</v>
      </c>
      <c r="H12" s="27">
        <v>46203.0</v>
      </c>
      <c r="I12" s="29"/>
      <c r="J12" s="176"/>
      <c r="K12" s="24"/>
      <c r="L12" s="24"/>
      <c r="M12" s="24"/>
      <c r="N12" s="24"/>
      <c r="O12" s="24"/>
      <c r="P12" s="24"/>
      <c r="Q12" s="24"/>
      <c r="R12" s="24"/>
      <c r="S12" s="24"/>
    </row>
    <row r="13" ht="19.5" customHeight="1">
      <c r="A13" s="14" t="s">
        <v>328</v>
      </c>
      <c r="B13" s="14" t="s">
        <v>53</v>
      </c>
      <c r="C13" s="14" t="s">
        <v>22</v>
      </c>
      <c r="D13" s="178">
        <v>9763.1</v>
      </c>
      <c r="E13" s="27">
        <v>46210.0</v>
      </c>
      <c r="F13" s="14" t="s">
        <v>66</v>
      </c>
      <c r="G13" s="175" t="s">
        <v>309</v>
      </c>
      <c r="H13" s="27">
        <v>46210.0</v>
      </c>
      <c r="I13" s="14"/>
      <c r="J13" s="176"/>
      <c r="K13" s="24"/>
      <c r="L13" s="24"/>
      <c r="M13" s="24"/>
      <c r="N13" s="24"/>
      <c r="O13" s="24"/>
      <c r="P13" s="24"/>
      <c r="Q13" s="24"/>
      <c r="R13" s="24"/>
      <c r="S13" s="24"/>
    </row>
    <row r="14" ht="19.5" customHeight="1">
      <c r="A14" s="29" t="s">
        <v>331</v>
      </c>
      <c r="B14" s="29" t="s">
        <v>53</v>
      </c>
      <c r="C14" s="29" t="s">
        <v>22</v>
      </c>
      <c r="D14" s="174">
        <v>8485.59</v>
      </c>
      <c r="E14" s="180">
        <v>46265.0</v>
      </c>
      <c r="F14" s="29" t="s">
        <v>66</v>
      </c>
      <c r="G14" s="175" t="s">
        <v>318</v>
      </c>
      <c r="H14" s="180">
        <v>46265.0</v>
      </c>
      <c r="I14" s="29"/>
      <c r="J14" s="176"/>
      <c r="K14" s="24"/>
      <c r="L14" s="24"/>
      <c r="M14" s="24"/>
      <c r="N14" s="24"/>
      <c r="O14" s="24"/>
      <c r="P14" s="24"/>
      <c r="Q14" s="24"/>
      <c r="R14" s="24"/>
      <c r="S14" s="24"/>
    </row>
    <row r="15" ht="19.5" customHeight="1">
      <c r="A15" s="29" t="s">
        <v>333</v>
      </c>
      <c r="B15" s="181" t="s">
        <v>163</v>
      </c>
      <c r="C15" s="29" t="s">
        <v>22</v>
      </c>
      <c r="D15" s="182">
        <v>500.0</v>
      </c>
      <c r="E15" s="180">
        <v>46265.0</v>
      </c>
      <c r="F15" s="29" t="s">
        <v>66</v>
      </c>
      <c r="G15" s="175" t="s">
        <v>318</v>
      </c>
      <c r="H15" s="180">
        <v>46265.0</v>
      </c>
      <c r="I15" s="29"/>
      <c r="J15" s="176"/>
      <c r="K15" s="24"/>
      <c r="L15" s="24"/>
      <c r="M15" s="24"/>
      <c r="N15" s="24"/>
      <c r="O15" s="24"/>
      <c r="P15" s="24"/>
      <c r="Q15" s="24"/>
      <c r="R15" s="24"/>
      <c r="S15" s="24"/>
    </row>
    <row r="16" ht="19.5" customHeight="1">
      <c r="A16" s="14" t="s">
        <v>336</v>
      </c>
      <c r="B16" s="14" t="s">
        <v>53</v>
      </c>
      <c r="C16" s="14" t="s">
        <v>22</v>
      </c>
      <c r="D16" s="178">
        <v>13623.4</v>
      </c>
      <c r="E16" s="27">
        <v>46157.0</v>
      </c>
      <c r="F16" s="14" t="s">
        <v>66</v>
      </c>
      <c r="G16" s="175" t="s">
        <v>309</v>
      </c>
      <c r="H16" s="27">
        <v>46157.0</v>
      </c>
      <c r="I16" s="14"/>
      <c r="J16" s="176"/>
      <c r="K16" s="24"/>
      <c r="L16" s="24"/>
      <c r="M16" s="24"/>
      <c r="N16" s="24"/>
      <c r="O16" s="24"/>
      <c r="P16" s="24"/>
      <c r="Q16" s="24"/>
      <c r="R16" s="24"/>
      <c r="S16" s="24"/>
    </row>
    <row r="17" ht="19.5" customHeight="1">
      <c r="A17" s="29" t="s">
        <v>340</v>
      </c>
      <c r="B17" s="29" t="s">
        <v>53</v>
      </c>
      <c r="C17" s="29" t="s">
        <v>22</v>
      </c>
      <c r="D17" s="174">
        <v>11137.22</v>
      </c>
      <c r="E17" s="27">
        <v>46147.0</v>
      </c>
      <c r="F17" s="29" t="s">
        <v>66</v>
      </c>
      <c r="G17" s="175" t="s">
        <v>309</v>
      </c>
      <c r="H17" s="27">
        <v>46147.0</v>
      </c>
      <c r="I17" s="29"/>
      <c r="J17" s="176"/>
      <c r="K17" s="24"/>
      <c r="L17" s="24"/>
      <c r="M17" s="24"/>
      <c r="N17" s="24"/>
      <c r="O17" s="24"/>
      <c r="P17" s="24"/>
      <c r="Q17" s="24"/>
      <c r="R17" s="24"/>
      <c r="S17" s="24"/>
    </row>
    <row r="18" ht="20.25" customHeight="1">
      <c r="A18" s="14" t="s">
        <v>343</v>
      </c>
      <c r="B18" s="14" t="s">
        <v>53</v>
      </c>
      <c r="C18" s="14" t="s">
        <v>22</v>
      </c>
      <c r="D18" s="178">
        <v>10800.53</v>
      </c>
      <c r="E18" s="27">
        <v>46173.0</v>
      </c>
      <c r="F18" s="14" t="s">
        <v>66</v>
      </c>
      <c r="G18" s="175" t="s">
        <v>309</v>
      </c>
      <c r="H18" s="27">
        <v>46173.0</v>
      </c>
      <c r="I18" s="14" t="s">
        <v>344</v>
      </c>
      <c r="J18" s="176"/>
      <c r="K18" s="24"/>
      <c r="L18" s="24"/>
      <c r="M18" s="24"/>
      <c r="N18" s="24"/>
      <c r="O18" s="24"/>
      <c r="P18" s="24"/>
      <c r="Q18" s="24"/>
      <c r="R18" s="24"/>
      <c r="S18" s="24"/>
    </row>
    <row r="19" ht="19.5" customHeight="1">
      <c r="A19" s="29" t="s">
        <v>343</v>
      </c>
      <c r="B19" s="29" t="s">
        <v>53</v>
      </c>
      <c r="C19" s="29" t="s">
        <v>22</v>
      </c>
      <c r="D19" s="174">
        <v>10800.53</v>
      </c>
      <c r="E19" s="27">
        <v>46217.0</v>
      </c>
      <c r="F19" s="29" t="s">
        <v>66</v>
      </c>
      <c r="G19" s="175" t="s">
        <v>309</v>
      </c>
      <c r="H19" s="27">
        <v>46217.0</v>
      </c>
      <c r="I19" s="29" t="s">
        <v>347</v>
      </c>
      <c r="J19" s="176"/>
      <c r="K19" s="24"/>
      <c r="L19" s="24"/>
      <c r="M19" s="24"/>
      <c r="N19" s="24"/>
      <c r="O19" s="24"/>
      <c r="P19" s="24"/>
      <c r="Q19" s="24"/>
      <c r="R19" s="24"/>
      <c r="S19" s="24"/>
    </row>
    <row r="20" ht="25.5" customHeight="1">
      <c r="A20" s="14" t="s">
        <v>349</v>
      </c>
      <c r="B20" s="14" t="s">
        <v>53</v>
      </c>
      <c r="C20" s="14" t="s">
        <v>22</v>
      </c>
      <c r="D20" s="178">
        <v>1495.0</v>
      </c>
      <c r="E20" s="27">
        <v>46173.0</v>
      </c>
      <c r="F20" s="14" t="s">
        <v>66</v>
      </c>
      <c r="G20" s="175" t="s">
        <v>309</v>
      </c>
      <c r="H20" s="27">
        <v>46173.0</v>
      </c>
      <c r="I20" s="14"/>
      <c r="J20" s="176"/>
      <c r="K20" s="24"/>
      <c r="L20" s="24"/>
      <c r="M20" s="24"/>
      <c r="N20" s="24"/>
      <c r="O20" s="24"/>
      <c r="P20" s="24"/>
      <c r="Q20" s="24"/>
      <c r="R20" s="24"/>
      <c r="S20" s="24"/>
    </row>
    <row r="21" ht="15.0" customHeight="1">
      <c r="A21" s="29" t="s">
        <v>352</v>
      </c>
      <c r="B21" s="29" t="s">
        <v>53</v>
      </c>
      <c r="C21" s="29" t="s">
        <v>22</v>
      </c>
      <c r="D21" s="174">
        <v>7466.78</v>
      </c>
      <c r="E21" s="27">
        <v>46192.0</v>
      </c>
      <c r="F21" s="29" t="s">
        <v>66</v>
      </c>
      <c r="G21" s="175" t="s">
        <v>309</v>
      </c>
      <c r="H21" s="27">
        <v>46192.0</v>
      </c>
      <c r="I21" s="29"/>
      <c r="J21" s="176"/>
      <c r="K21" s="24"/>
      <c r="L21" s="24"/>
      <c r="M21" s="24"/>
      <c r="N21" s="24"/>
      <c r="O21" s="24"/>
      <c r="P21" s="24"/>
      <c r="Q21" s="24"/>
      <c r="R21" s="24"/>
      <c r="S21" s="24"/>
    </row>
    <row r="22" ht="15.0" customHeight="1">
      <c r="A22" s="14" t="s">
        <v>355</v>
      </c>
      <c r="B22" s="14" t="s">
        <v>53</v>
      </c>
      <c r="C22" s="14" t="s">
        <v>22</v>
      </c>
      <c r="D22" s="178">
        <v>13675.72</v>
      </c>
      <c r="E22" s="27">
        <v>46203.0</v>
      </c>
      <c r="F22" s="14" t="s">
        <v>66</v>
      </c>
      <c r="G22" s="175" t="s">
        <v>309</v>
      </c>
      <c r="H22" s="27">
        <v>46203.0</v>
      </c>
      <c r="I22" s="14"/>
      <c r="J22" s="176"/>
      <c r="K22" s="24"/>
      <c r="L22" s="24"/>
      <c r="M22" s="24"/>
      <c r="N22" s="24"/>
      <c r="O22" s="24"/>
      <c r="P22" s="24"/>
      <c r="Q22" s="24"/>
      <c r="R22" s="24"/>
      <c r="S22" s="24"/>
    </row>
    <row r="23" ht="15.0" customHeight="1">
      <c r="A23" s="29" t="s">
        <v>358</v>
      </c>
      <c r="B23" s="29" t="s">
        <v>53</v>
      </c>
      <c r="C23" s="29" t="s">
        <v>22</v>
      </c>
      <c r="D23" s="174">
        <v>8742.75</v>
      </c>
      <c r="E23" s="27">
        <v>46217.0</v>
      </c>
      <c r="F23" s="29" t="s">
        <v>66</v>
      </c>
      <c r="G23" s="175" t="s">
        <v>309</v>
      </c>
      <c r="H23" s="27">
        <v>46217.0</v>
      </c>
      <c r="I23" s="29"/>
      <c r="J23" s="176"/>
      <c r="K23" s="24"/>
      <c r="L23" s="24"/>
      <c r="M23" s="24"/>
      <c r="N23" s="24"/>
      <c r="O23" s="24"/>
      <c r="P23" s="24"/>
      <c r="Q23" s="24"/>
      <c r="R23" s="24"/>
      <c r="S23" s="24"/>
    </row>
    <row r="24" ht="15.0" customHeight="1">
      <c r="A24" s="14" t="s">
        <v>361</v>
      </c>
      <c r="B24" s="189" t="s">
        <v>59</v>
      </c>
      <c r="C24" s="14" t="s">
        <v>22</v>
      </c>
      <c r="D24" s="178">
        <v>11462.65</v>
      </c>
      <c r="E24" s="27">
        <v>46260.0</v>
      </c>
      <c r="F24" s="14" t="s">
        <v>66</v>
      </c>
      <c r="G24" s="175" t="s">
        <v>318</v>
      </c>
      <c r="H24" s="69">
        <v>46260.0</v>
      </c>
      <c r="I24" s="14"/>
      <c r="J24" s="176"/>
      <c r="K24" s="24"/>
      <c r="L24" s="24"/>
      <c r="M24" s="24"/>
      <c r="N24" s="24"/>
      <c r="O24" s="24"/>
      <c r="P24" s="24"/>
      <c r="Q24" s="24"/>
      <c r="R24" s="24"/>
      <c r="S24" s="24"/>
    </row>
    <row r="25" ht="15.0" customHeight="1">
      <c r="A25" s="14" t="s">
        <v>361</v>
      </c>
      <c r="B25" s="189" t="s">
        <v>163</v>
      </c>
      <c r="C25" s="14" t="s">
        <v>22</v>
      </c>
      <c r="D25" s="190">
        <v>500.0</v>
      </c>
      <c r="E25" s="27">
        <v>46260.0</v>
      </c>
      <c r="F25" s="14" t="s">
        <v>66</v>
      </c>
      <c r="G25" s="175" t="s">
        <v>318</v>
      </c>
      <c r="H25" s="69">
        <v>46260.0</v>
      </c>
      <c r="I25" s="14"/>
      <c r="J25" s="176"/>
      <c r="K25" s="24"/>
      <c r="L25" s="24"/>
      <c r="M25" s="24"/>
      <c r="N25" s="24"/>
      <c r="O25" s="24"/>
      <c r="P25" s="24"/>
      <c r="Q25" s="24"/>
      <c r="R25" s="24"/>
      <c r="S25" s="24"/>
    </row>
    <row r="26" ht="15.0" customHeight="1">
      <c r="A26" s="191" t="s">
        <v>367</v>
      </c>
      <c r="B26" s="192"/>
      <c r="C26" s="192"/>
      <c r="D26" s="192"/>
      <c r="E26" s="192"/>
      <c r="F26" s="192"/>
      <c r="G26" s="192"/>
      <c r="H26" s="192"/>
      <c r="I26" s="193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5.0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5.0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5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5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5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5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5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5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5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5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5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5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5.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5.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I1"/>
    <mergeCell ref="A2:I2"/>
    <mergeCell ref="A4:C4"/>
    <mergeCell ref="A26:I2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2.86"/>
    <col customWidth="1" min="2" max="3" width="18.0"/>
    <col customWidth="1" min="4" max="4" width="10.0"/>
    <col customWidth="1" min="5" max="5" width="16.0"/>
    <col customWidth="1" min="6" max="6" width="14.0"/>
    <col customWidth="1" min="7" max="7" width="18.0"/>
    <col customWidth="1" min="8" max="8" width="36.86"/>
    <col customWidth="1" min="9" max="19" width="8.71"/>
  </cols>
  <sheetData>
    <row r="1" ht="33.75" customHeight="1">
      <c r="A1" s="203" t="s">
        <v>386</v>
      </c>
      <c r="B1" s="2"/>
      <c r="C1" s="2"/>
      <c r="D1" s="2"/>
      <c r="E1" s="2"/>
      <c r="F1" s="2"/>
      <c r="G1" s="2"/>
      <c r="H1" s="4"/>
    </row>
    <row r="2" ht="18.0" customHeight="1">
      <c r="A2" s="159" t="s">
        <v>388</v>
      </c>
      <c r="B2" s="2"/>
      <c r="C2" s="2"/>
      <c r="D2" s="2"/>
      <c r="E2" s="2"/>
      <c r="F2" s="2"/>
      <c r="G2" s="2"/>
      <c r="H2" s="4"/>
    </row>
    <row r="3" ht="24.0" customHeight="1">
      <c r="A3" s="204" t="s">
        <v>7</v>
      </c>
      <c r="B3" s="204" t="s">
        <v>8</v>
      </c>
      <c r="C3" s="204" t="s">
        <v>389</v>
      </c>
      <c r="D3" s="204" t="s">
        <v>11</v>
      </c>
      <c r="E3" s="204" t="s">
        <v>299</v>
      </c>
      <c r="F3" s="204" t="s">
        <v>301</v>
      </c>
      <c r="G3" s="204" t="s">
        <v>47</v>
      </c>
      <c r="H3" s="204" t="s">
        <v>14</v>
      </c>
    </row>
    <row r="4" ht="21.75" customHeight="1">
      <c r="A4" s="14" t="s">
        <v>391</v>
      </c>
      <c r="B4" s="14" t="s">
        <v>61</v>
      </c>
      <c r="C4" s="205">
        <v>2961.23</v>
      </c>
      <c r="D4" s="17" t="s">
        <v>69</v>
      </c>
      <c r="E4" s="12">
        <v>46130.0</v>
      </c>
      <c r="F4" s="164" t="s">
        <v>393</v>
      </c>
      <c r="G4" s="12">
        <v>46130.0</v>
      </c>
      <c r="H4" s="14" t="s">
        <v>394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21.75" customHeight="1">
      <c r="A5" s="29" t="s">
        <v>395</v>
      </c>
      <c r="B5" s="29" t="s">
        <v>86</v>
      </c>
      <c r="C5" s="206">
        <v>3260.96</v>
      </c>
      <c r="D5" s="30" t="s">
        <v>69</v>
      </c>
      <c r="E5" s="27">
        <v>46135.0</v>
      </c>
      <c r="F5" s="164" t="s">
        <v>393</v>
      </c>
      <c r="G5" s="27">
        <v>46135.0</v>
      </c>
      <c r="H5" s="29" t="s">
        <v>394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21.75" customHeight="1">
      <c r="A6" s="14" t="s">
        <v>397</v>
      </c>
      <c r="B6" s="14" t="s">
        <v>92</v>
      </c>
      <c r="C6" s="205">
        <v>2237.75</v>
      </c>
      <c r="D6" s="17" t="s">
        <v>69</v>
      </c>
      <c r="E6" s="12">
        <v>46203.0</v>
      </c>
      <c r="F6" s="207" t="s">
        <v>398</v>
      </c>
      <c r="G6" s="12"/>
      <c r="H6" s="14" t="s">
        <v>399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21.75" customHeight="1">
      <c r="A7" s="29" t="s">
        <v>403</v>
      </c>
      <c r="B7" s="29" t="s">
        <v>92</v>
      </c>
      <c r="C7" s="206">
        <v>6648.8</v>
      </c>
      <c r="D7" s="30" t="s">
        <v>69</v>
      </c>
      <c r="E7" s="27">
        <v>46051.0</v>
      </c>
      <c r="F7" s="164" t="s">
        <v>393</v>
      </c>
      <c r="G7" s="27">
        <v>46051.0</v>
      </c>
      <c r="H7" s="29" t="s">
        <v>399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21.75" customHeight="1">
      <c r="A8" s="14" t="s">
        <v>404</v>
      </c>
      <c r="B8" s="14" t="s">
        <v>92</v>
      </c>
      <c r="C8" s="205">
        <v>2500.0</v>
      </c>
      <c r="D8" s="17" t="s">
        <v>69</v>
      </c>
      <c r="E8" s="12">
        <v>46235.0</v>
      </c>
      <c r="F8" s="207" t="s">
        <v>398</v>
      </c>
      <c r="G8" s="12"/>
      <c r="H8" s="14" t="s">
        <v>399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21.75" customHeight="1">
      <c r="A9" s="29" t="s">
        <v>406</v>
      </c>
      <c r="B9" s="29" t="s">
        <v>105</v>
      </c>
      <c r="C9" s="206">
        <v>6262.2</v>
      </c>
      <c r="D9" s="30" t="s">
        <v>69</v>
      </c>
      <c r="E9" s="27">
        <v>46203.0</v>
      </c>
      <c r="F9" s="207" t="s">
        <v>398</v>
      </c>
      <c r="G9" s="27"/>
      <c r="H9" s="29" t="s">
        <v>399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21.75" customHeight="1">
      <c r="A10" s="14" t="s">
        <v>408</v>
      </c>
      <c r="B10" s="14" t="s">
        <v>109</v>
      </c>
      <c r="C10" s="205">
        <v>6219.34</v>
      </c>
      <c r="D10" s="17" t="s">
        <v>69</v>
      </c>
      <c r="E10" s="12">
        <v>46203.0</v>
      </c>
      <c r="F10" s="207" t="s">
        <v>398</v>
      </c>
      <c r="G10" s="12"/>
      <c r="H10" s="14" t="s">
        <v>399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21.75" customHeight="1">
      <c r="A11" s="29" t="s">
        <v>409</v>
      </c>
      <c r="B11" s="29" t="s">
        <v>117</v>
      </c>
      <c r="C11" s="206">
        <v>4324.38</v>
      </c>
      <c r="D11" s="30" t="s">
        <v>69</v>
      </c>
      <c r="E11" s="27">
        <v>46235.0</v>
      </c>
      <c r="F11" s="164" t="s">
        <v>393</v>
      </c>
      <c r="G11" s="27">
        <v>46235.0</v>
      </c>
      <c r="H11" s="29" t="s">
        <v>412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21.75" customHeight="1">
      <c r="A12" s="14" t="s">
        <v>414</v>
      </c>
      <c r="B12" s="14" t="s">
        <v>120</v>
      </c>
      <c r="C12" s="205">
        <v>6752.9</v>
      </c>
      <c r="D12" s="17" t="s">
        <v>69</v>
      </c>
      <c r="E12" s="12">
        <v>46203.0</v>
      </c>
      <c r="F12" s="164" t="s">
        <v>393</v>
      </c>
      <c r="G12" s="12">
        <v>46203.0</v>
      </c>
      <c r="H12" s="14" t="s">
        <v>71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21.75" customHeight="1">
      <c r="A13" s="29" t="s">
        <v>417</v>
      </c>
      <c r="B13" s="29" t="s">
        <v>127</v>
      </c>
      <c r="C13" s="206">
        <v>9763.1</v>
      </c>
      <c r="D13" s="30" t="s">
        <v>69</v>
      </c>
      <c r="E13" s="27">
        <v>46210.0</v>
      </c>
      <c r="F13" s="164" t="s">
        <v>393</v>
      </c>
      <c r="G13" s="27">
        <v>46210.0</v>
      </c>
      <c r="H13" s="29" t="s">
        <v>71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21.75" customHeight="1">
      <c r="A14" s="14" t="s">
        <v>420</v>
      </c>
      <c r="B14" s="14" t="s">
        <v>135</v>
      </c>
      <c r="C14" s="205">
        <v>16971.18</v>
      </c>
      <c r="D14" s="17" t="s">
        <v>69</v>
      </c>
      <c r="E14" s="12">
        <v>46234.0</v>
      </c>
      <c r="F14" s="207" t="s">
        <v>398</v>
      </c>
      <c r="G14" s="12"/>
      <c r="H14" s="14" t="s">
        <v>71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21.75" customHeight="1">
      <c r="A15" s="29" t="s">
        <v>421</v>
      </c>
      <c r="B15" s="29" t="s">
        <v>141</v>
      </c>
      <c r="C15" s="206">
        <v>13623.4</v>
      </c>
      <c r="D15" s="30" t="s">
        <v>69</v>
      </c>
      <c r="E15" s="27">
        <v>46157.0</v>
      </c>
      <c r="F15" s="164" t="s">
        <v>393</v>
      </c>
      <c r="G15" s="27">
        <v>46157.0</v>
      </c>
      <c r="H15" s="29" t="s">
        <v>71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21.75" customHeight="1">
      <c r="A16" s="14" t="s">
        <v>423</v>
      </c>
      <c r="B16" s="14" t="s">
        <v>146</v>
      </c>
      <c r="C16" s="205">
        <v>11137.22</v>
      </c>
      <c r="D16" s="17" t="s">
        <v>69</v>
      </c>
      <c r="E16" s="12">
        <v>46147.0</v>
      </c>
      <c r="F16" s="164" t="s">
        <v>393</v>
      </c>
      <c r="G16" s="12">
        <v>46147.0</v>
      </c>
      <c r="H16" s="14" t="s">
        <v>71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21.75" customHeight="1">
      <c r="A17" s="29" t="s">
        <v>426</v>
      </c>
      <c r="B17" s="29" t="s">
        <v>150</v>
      </c>
      <c r="C17" s="206">
        <v>10800.53</v>
      </c>
      <c r="D17" s="30" t="s">
        <v>25</v>
      </c>
      <c r="E17" s="27">
        <v>46173.0</v>
      </c>
      <c r="F17" s="164" t="s">
        <v>393</v>
      </c>
      <c r="G17" s="27">
        <v>46173.0</v>
      </c>
      <c r="H17" s="29" t="s">
        <v>71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21.75" customHeight="1">
      <c r="A18" s="14" t="s">
        <v>426</v>
      </c>
      <c r="B18" s="14" t="s">
        <v>150</v>
      </c>
      <c r="C18" s="205">
        <v>10800.53</v>
      </c>
      <c r="D18" s="17" t="s">
        <v>38</v>
      </c>
      <c r="E18" s="12">
        <v>46217.0</v>
      </c>
      <c r="F18" s="164" t="s">
        <v>393</v>
      </c>
      <c r="G18" s="12">
        <v>46217.0</v>
      </c>
      <c r="H18" s="14" t="s">
        <v>71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21.75" customHeight="1">
      <c r="A19" s="29" t="s">
        <v>429</v>
      </c>
      <c r="B19" s="29" t="s">
        <v>150</v>
      </c>
      <c r="C19" s="206">
        <v>1495.0</v>
      </c>
      <c r="D19" s="30" t="s">
        <v>69</v>
      </c>
      <c r="E19" s="27">
        <v>46173.0</v>
      </c>
      <c r="F19" s="164" t="s">
        <v>393</v>
      </c>
      <c r="G19" s="27">
        <v>46173.0</v>
      </c>
      <c r="H19" s="29" t="s">
        <v>71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21.75" customHeight="1">
      <c r="A20" s="14" t="s">
        <v>431</v>
      </c>
      <c r="B20" s="14" t="s">
        <v>161</v>
      </c>
      <c r="C20" s="205">
        <v>7466.78</v>
      </c>
      <c r="D20" s="17" t="s">
        <v>69</v>
      </c>
      <c r="E20" s="12">
        <v>46192.0</v>
      </c>
      <c r="F20" s="164" t="s">
        <v>393</v>
      </c>
      <c r="G20" s="12">
        <v>46192.0</v>
      </c>
      <c r="H20" s="14" t="s">
        <v>71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25.5" customHeight="1">
      <c r="A21" s="29" t="s">
        <v>421</v>
      </c>
      <c r="B21" s="29" t="s">
        <v>165</v>
      </c>
      <c r="C21" s="206">
        <v>13675.72</v>
      </c>
      <c r="D21" s="30" t="s">
        <v>69</v>
      </c>
      <c r="E21" s="27">
        <v>46203.0</v>
      </c>
      <c r="F21" s="164" t="s">
        <v>393</v>
      </c>
      <c r="G21" s="27">
        <v>46203.0</v>
      </c>
      <c r="H21" s="29" t="s">
        <v>71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5.0" customHeight="1">
      <c r="A22" s="14" t="s">
        <v>434</v>
      </c>
      <c r="B22" s="14" t="s">
        <v>175</v>
      </c>
      <c r="C22" s="205">
        <v>8742.75</v>
      </c>
      <c r="D22" s="17" t="s">
        <v>69</v>
      </c>
      <c r="E22" s="12">
        <v>46217.0</v>
      </c>
      <c r="F22" s="164" t="s">
        <v>393</v>
      </c>
      <c r="G22" s="12">
        <v>46217.0</v>
      </c>
      <c r="H22" s="14" t="s">
        <v>71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5.0" customHeight="1">
      <c r="A23" s="29" t="s">
        <v>437</v>
      </c>
      <c r="B23" s="29" t="s">
        <v>179</v>
      </c>
      <c r="C23" s="206">
        <v>11462.65</v>
      </c>
      <c r="D23" s="30" t="s">
        <v>69</v>
      </c>
      <c r="E23" s="27">
        <v>46260.0</v>
      </c>
      <c r="F23" s="207" t="s">
        <v>398</v>
      </c>
      <c r="G23" s="27"/>
      <c r="H23" s="29" t="s">
        <v>71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5.0" customHeight="1">
      <c r="A24" s="208" t="s">
        <v>303</v>
      </c>
      <c r="B24" s="4"/>
      <c r="C24" s="209">
        <f>IFERROR(SUMIF(F4:F23,"Pendente",C4:C23),0)</f>
        <v>45653.12</v>
      </c>
      <c r="D24" s="210"/>
      <c r="E24" s="210"/>
      <c r="F24" s="210"/>
      <c r="G24" s="210"/>
      <c r="H24" s="21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5.0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15.0" customHeight="1">
      <c r="A26" s="212" t="s">
        <v>443</v>
      </c>
      <c r="B26" s="2"/>
      <c r="C26" s="2"/>
      <c r="D26" s="2"/>
      <c r="E26" s="2"/>
      <c r="F26" s="2"/>
      <c r="G26" s="2"/>
      <c r="H26" s="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15.0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15.0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5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5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5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5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5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5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5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5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15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15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5.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5.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5.0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5.0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5.0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5.0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9"/>
      <c r="B46" s="9"/>
      <c r="C46" s="9"/>
      <c r="D46" s="9"/>
      <c r="E46" s="9"/>
      <c r="F46" s="9"/>
      <c r="G46" s="9"/>
      <c r="H46" s="9"/>
    </row>
    <row r="47" ht="15.75" customHeight="1">
      <c r="A47" s="9"/>
      <c r="B47" s="9"/>
      <c r="C47" s="9"/>
      <c r="D47" s="9"/>
      <c r="E47" s="9"/>
      <c r="F47" s="9"/>
      <c r="G47" s="9"/>
      <c r="H47" s="9"/>
    </row>
    <row r="48" ht="15.75" customHeight="1">
      <c r="A48" s="9"/>
      <c r="B48" s="9"/>
      <c r="C48" s="9"/>
      <c r="D48" s="9"/>
      <c r="E48" s="9"/>
      <c r="F48" s="9"/>
      <c r="G48" s="9"/>
      <c r="H48" s="9"/>
    </row>
    <row r="49" ht="15.75" customHeight="1">
      <c r="A49" s="9"/>
      <c r="B49" s="9"/>
      <c r="C49" s="9"/>
      <c r="D49" s="9"/>
      <c r="E49" s="9"/>
      <c r="F49" s="9"/>
      <c r="G49" s="9"/>
      <c r="H49" s="9"/>
    </row>
    <row r="50" ht="15.75" customHeight="1">
      <c r="A50" s="9"/>
      <c r="B50" s="9"/>
      <c r="C50" s="9"/>
      <c r="D50" s="9"/>
      <c r="E50" s="9"/>
      <c r="F50" s="9"/>
      <c r="G50" s="9"/>
      <c r="H50" s="9"/>
    </row>
    <row r="51" ht="15.75" customHeight="1">
      <c r="A51" s="9"/>
      <c r="B51" s="9"/>
      <c r="C51" s="9"/>
      <c r="D51" s="9"/>
      <c r="E51" s="9"/>
      <c r="F51" s="9"/>
      <c r="G51" s="9"/>
      <c r="H51" s="9"/>
    </row>
    <row r="52" ht="15.75" customHeight="1">
      <c r="A52" s="9"/>
      <c r="B52" s="9"/>
      <c r="C52" s="9"/>
      <c r="D52" s="9"/>
      <c r="E52" s="9"/>
      <c r="F52" s="9"/>
      <c r="G52" s="9"/>
      <c r="H52" s="9"/>
    </row>
    <row r="53" ht="15.75" customHeight="1">
      <c r="A53" s="9"/>
      <c r="B53" s="9"/>
      <c r="C53" s="9"/>
      <c r="D53" s="9"/>
      <c r="E53" s="9"/>
      <c r="F53" s="9"/>
      <c r="G53" s="9"/>
      <c r="H53" s="9"/>
    </row>
    <row r="54" ht="15.75" customHeight="1">
      <c r="A54" s="9"/>
      <c r="B54" s="9"/>
      <c r="C54" s="9"/>
      <c r="D54" s="9"/>
      <c r="E54" s="9"/>
      <c r="F54" s="9"/>
      <c r="G54" s="9"/>
      <c r="H54" s="9"/>
    </row>
    <row r="55" ht="15.75" customHeight="1">
      <c r="A55" s="9"/>
      <c r="B55" s="9"/>
      <c r="C55" s="9"/>
      <c r="D55" s="9"/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9"/>
      <c r="E57" s="9"/>
      <c r="F57" s="9"/>
      <c r="G57" s="9"/>
      <c r="H57" s="9"/>
    </row>
    <row r="58" ht="15.75" customHeight="1">
      <c r="A58" s="9"/>
      <c r="B58" s="9"/>
      <c r="C58" s="9"/>
      <c r="D58" s="9"/>
      <c r="E58" s="9"/>
      <c r="F58" s="9"/>
      <c r="G58" s="9"/>
      <c r="H58" s="9"/>
    </row>
    <row r="59" ht="15.75" customHeight="1">
      <c r="A59" s="9"/>
      <c r="B59" s="9"/>
      <c r="C59" s="9"/>
      <c r="D59" s="9"/>
      <c r="E59" s="9"/>
      <c r="F59" s="9"/>
      <c r="G59" s="9"/>
      <c r="H59" s="9"/>
    </row>
    <row r="60" ht="15.75" customHeight="1">
      <c r="A60" s="9"/>
      <c r="B60" s="9"/>
      <c r="C60" s="9"/>
      <c r="D60" s="9"/>
      <c r="E60" s="9"/>
      <c r="F60" s="9"/>
      <c r="G60" s="9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9"/>
      <c r="B65" s="9"/>
      <c r="C65" s="9"/>
      <c r="D65" s="9"/>
      <c r="E65" s="9"/>
      <c r="F65" s="9"/>
      <c r="G65" s="9"/>
      <c r="H65" s="9"/>
    </row>
    <row r="66" ht="15.75" customHeight="1">
      <c r="A66" s="9"/>
      <c r="B66" s="9"/>
      <c r="C66" s="9"/>
      <c r="D66" s="9"/>
      <c r="E66" s="9"/>
      <c r="F66" s="9"/>
      <c r="G66" s="9"/>
      <c r="H66" s="9"/>
    </row>
    <row r="67" ht="15.75" customHeight="1">
      <c r="A67" s="9"/>
      <c r="B67" s="9"/>
      <c r="C67" s="9"/>
      <c r="D67" s="9"/>
      <c r="E67" s="9"/>
      <c r="F67" s="9"/>
      <c r="G67" s="9"/>
      <c r="H67" s="9"/>
    </row>
    <row r="68" ht="15.75" customHeight="1">
      <c r="A68" s="9"/>
      <c r="B68" s="9"/>
      <c r="C68" s="9"/>
      <c r="D68" s="9"/>
      <c r="E68" s="9"/>
      <c r="F68" s="9"/>
      <c r="G68" s="9"/>
      <c r="H68" s="9"/>
    </row>
    <row r="69" ht="15.75" customHeight="1">
      <c r="A69" s="9"/>
      <c r="B69" s="9"/>
      <c r="C69" s="9"/>
      <c r="D69" s="9"/>
      <c r="E69" s="9"/>
      <c r="F69" s="9"/>
      <c r="G69" s="9"/>
      <c r="H69" s="9"/>
    </row>
    <row r="70" ht="15.75" customHeight="1">
      <c r="A70" s="9"/>
      <c r="B70" s="9"/>
      <c r="C70" s="9"/>
      <c r="D70" s="9"/>
      <c r="E70" s="9"/>
      <c r="F70" s="9"/>
      <c r="G70" s="9"/>
      <c r="H70" s="9"/>
    </row>
    <row r="71" ht="15.75" customHeight="1">
      <c r="A71" s="9"/>
      <c r="B71" s="9"/>
      <c r="C71" s="9"/>
      <c r="D71" s="9"/>
      <c r="E71" s="9"/>
      <c r="F71" s="9"/>
      <c r="G71" s="9"/>
      <c r="H71" s="9"/>
    </row>
    <row r="72" ht="15.75" customHeight="1">
      <c r="A72" s="9"/>
      <c r="B72" s="9"/>
      <c r="C72" s="9"/>
      <c r="D72" s="9"/>
      <c r="E72" s="9"/>
      <c r="F72" s="9"/>
      <c r="G72" s="9"/>
      <c r="H72" s="9"/>
    </row>
    <row r="73" ht="15.75" customHeight="1">
      <c r="A73" s="9"/>
      <c r="B73" s="9"/>
      <c r="C73" s="9"/>
      <c r="D73" s="9"/>
      <c r="E73" s="9"/>
      <c r="F73" s="9"/>
      <c r="G73" s="9"/>
      <c r="H73" s="9"/>
    </row>
    <row r="74" ht="15.75" customHeight="1">
      <c r="A74" s="9"/>
      <c r="B74" s="9"/>
      <c r="C74" s="9"/>
      <c r="D74" s="9"/>
      <c r="E74" s="9"/>
      <c r="F74" s="9"/>
      <c r="G74" s="9"/>
      <c r="H74" s="9"/>
    </row>
    <row r="75" ht="15.75" customHeight="1">
      <c r="A75" s="9"/>
      <c r="B75" s="9"/>
      <c r="C75" s="9"/>
      <c r="D75" s="9"/>
      <c r="E75" s="9"/>
      <c r="F75" s="9"/>
      <c r="G75" s="9"/>
      <c r="H75" s="9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24:B24"/>
    <mergeCell ref="A26:H26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5" width="18.0"/>
    <col customWidth="1" min="6" max="6" width="34.0"/>
    <col customWidth="1" min="7" max="19" width="8.71"/>
  </cols>
  <sheetData>
    <row r="1" ht="33.75" customHeight="1">
      <c r="A1" s="223" t="s">
        <v>457</v>
      </c>
      <c r="B1" s="2"/>
      <c r="C1" s="2"/>
      <c r="D1" s="2"/>
      <c r="E1" s="2"/>
      <c r="F1" s="4"/>
    </row>
    <row r="2" ht="18.0" customHeight="1">
      <c r="A2" s="224" t="s">
        <v>458</v>
      </c>
      <c r="B2" s="2"/>
      <c r="C2" s="2"/>
      <c r="D2" s="2"/>
      <c r="E2" s="2"/>
      <c r="F2" s="4"/>
    </row>
    <row r="3" ht="24.0" customHeight="1">
      <c r="A3" s="225" t="s">
        <v>7</v>
      </c>
      <c r="B3" s="225" t="s">
        <v>459</v>
      </c>
      <c r="C3" s="225" t="s">
        <v>460</v>
      </c>
      <c r="D3" s="225" t="s">
        <v>461</v>
      </c>
      <c r="E3" s="225" t="s">
        <v>10</v>
      </c>
      <c r="F3" s="225" t="s">
        <v>14</v>
      </c>
    </row>
    <row r="4" ht="21.75" customHeight="1">
      <c r="A4" s="226" t="s">
        <v>462</v>
      </c>
      <c r="B4" s="227">
        <v>94.91</v>
      </c>
      <c r="C4" s="228">
        <f t="shared" ref="C4:C6" si="1">B4*12</f>
        <v>1138.92</v>
      </c>
      <c r="D4" s="229">
        <v>1.0</v>
      </c>
      <c r="E4" s="226" t="s">
        <v>463</v>
      </c>
      <c r="F4" s="226" t="s">
        <v>464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21.75" customHeight="1">
      <c r="A5" s="226" t="s">
        <v>465</v>
      </c>
      <c r="B5" s="227">
        <v>2500.0</v>
      </c>
      <c r="C5" s="228">
        <f t="shared" si="1"/>
        <v>30000</v>
      </c>
      <c r="D5" s="229">
        <v>5.0</v>
      </c>
      <c r="E5" s="226" t="s">
        <v>466</v>
      </c>
      <c r="F5" s="226" t="s">
        <v>467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21.75" customHeight="1">
      <c r="A6" s="230" t="s">
        <v>468</v>
      </c>
      <c r="B6" s="227">
        <v>250.0</v>
      </c>
      <c r="C6" s="231">
        <f t="shared" si="1"/>
        <v>3000</v>
      </c>
      <c r="D6" s="232">
        <v>1.0</v>
      </c>
      <c r="E6" s="230" t="s">
        <v>469</v>
      </c>
      <c r="F6" s="230" t="s">
        <v>470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25.5" customHeight="1">
      <c r="A7" s="233" t="s">
        <v>471</v>
      </c>
      <c r="B7" s="234">
        <f t="shared" ref="B7:C7" si="2">SUM(B4:B6)</f>
        <v>2844.91</v>
      </c>
      <c r="C7" s="234">
        <f t="shared" si="2"/>
        <v>34138.92</v>
      </c>
      <c r="D7" s="235"/>
      <c r="E7" s="236"/>
      <c r="F7" s="236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21.75" customHeight="1">
      <c r="A8" s="90"/>
      <c r="B8" s="237"/>
      <c r="C8" s="238"/>
      <c r="D8" s="239"/>
      <c r="E8" s="90"/>
      <c r="F8" s="90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24.0" customHeight="1">
      <c r="A9" s="240" t="s">
        <v>472</v>
      </c>
      <c r="B9" s="2"/>
      <c r="C9" s="2"/>
      <c r="D9" s="2"/>
      <c r="E9" s="2"/>
      <c r="F9" s="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21.75" customHeight="1">
      <c r="A10" s="241" t="s">
        <v>473</v>
      </c>
      <c r="B10" s="242">
        <v>0.0356</v>
      </c>
      <c r="C10" s="243" t="s">
        <v>474</v>
      </c>
      <c r="D10" s="244"/>
      <c r="E10" s="244"/>
      <c r="F10" s="245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21.75" customHeight="1">
      <c r="A11" s="241" t="s">
        <v>475</v>
      </c>
      <c r="B11" s="242">
        <v>0.15</v>
      </c>
      <c r="C11" s="243" t="s">
        <v>476</v>
      </c>
      <c r="D11" s="244"/>
      <c r="E11" s="244"/>
      <c r="F11" s="245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15.0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24.0" customHeight="1">
      <c r="A13" s="2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21.75" customHeight="1">
      <c r="A14" s="90"/>
      <c r="B14" s="247"/>
      <c r="C14" s="9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21.75" customHeight="1">
      <c r="A15" s="90"/>
      <c r="B15" s="247"/>
      <c r="C15" s="9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15.0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15.0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15.0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5.0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5.0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5.0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5.0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5.0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5.0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/>
      <c r="B26" s="9"/>
      <c r="C26" s="9"/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9"/>
      <c r="B28" s="9"/>
      <c r="C28" s="9"/>
      <c r="D28" s="9"/>
      <c r="E28" s="9"/>
      <c r="F28" s="9"/>
    </row>
    <row r="29" ht="15.75" customHeight="1">
      <c r="A29" s="9"/>
      <c r="B29" s="9"/>
      <c r="C29" s="9"/>
      <c r="D29" s="9"/>
      <c r="E29" s="9"/>
      <c r="F29" s="9"/>
    </row>
    <row r="30" ht="15.75" customHeight="1">
      <c r="A30" s="9"/>
      <c r="B30" s="9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9"/>
      <c r="F31" s="9"/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9"/>
      <c r="B33" s="9"/>
      <c r="C33" s="9"/>
      <c r="D33" s="9"/>
      <c r="E33" s="9"/>
      <c r="F33" s="9"/>
    </row>
    <row r="34" ht="15.75" customHeight="1">
      <c r="A34" s="9"/>
      <c r="B34" s="9"/>
      <c r="C34" s="9"/>
      <c r="D34" s="9"/>
      <c r="E34" s="9"/>
      <c r="F34" s="9"/>
    </row>
    <row r="35" ht="15.75" customHeight="1">
      <c r="A35" s="9"/>
      <c r="B35" s="9"/>
      <c r="C35" s="9"/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>
      <c r="A44" s="9"/>
      <c r="B44" s="9"/>
      <c r="C44" s="9"/>
      <c r="D44" s="9"/>
      <c r="E44" s="9"/>
      <c r="F44" s="9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/>
      <c r="B46" s="9"/>
      <c r="C46" s="9"/>
      <c r="D46" s="9"/>
      <c r="E46" s="9"/>
      <c r="F46" s="9"/>
    </row>
    <row r="47" ht="15.75" customHeight="1">
      <c r="A47" s="9"/>
      <c r="B47" s="9"/>
      <c r="C47" s="9"/>
      <c r="D47" s="9"/>
      <c r="E47" s="9"/>
      <c r="F47" s="9"/>
    </row>
    <row r="48" ht="15.75" customHeight="1">
      <c r="A48" s="9"/>
      <c r="B48" s="9"/>
      <c r="C48" s="9"/>
      <c r="D48" s="9"/>
      <c r="E48" s="9"/>
      <c r="F48" s="9"/>
    </row>
    <row r="49" ht="15.75" customHeight="1">
      <c r="A49" s="9"/>
      <c r="B49" s="9"/>
      <c r="C49" s="9"/>
      <c r="D49" s="9"/>
      <c r="E49" s="9"/>
      <c r="F49" s="9"/>
    </row>
    <row r="50" ht="15.75" customHeight="1">
      <c r="A50" s="9"/>
      <c r="B50" s="9"/>
      <c r="C50" s="9"/>
      <c r="D50" s="9"/>
      <c r="E50" s="9"/>
      <c r="F50" s="9"/>
    </row>
    <row r="51" ht="15.75" customHeight="1">
      <c r="A51" s="9"/>
      <c r="B51" s="9"/>
      <c r="C51" s="9"/>
      <c r="D51" s="9"/>
      <c r="E51" s="9"/>
      <c r="F51" s="9"/>
    </row>
    <row r="52" ht="15.75" customHeight="1">
      <c r="A52" s="9"/>
      <c r="B52" s="9"/>
      <c r="C52" s="9"/>
      <c r="D52" s="9"/>
      <c r="E52" s="9"/>
      <c r="F52" s="9"/>
    </row>
    <row r="53" ht="15.75" customHeight="1">
      <c r="A53" s="9"/>
      <c r="B53" s="9"/>
      <c r="C53" s="9"/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9"/>
      <c r="B55" s="9"/>
      <c r="C55" s="9"/>
      <c r="D55" s="9"/>
      <c r="E55" s="9"/>
      <c r="F55" s="9"/>
    </row>
    <row r="56" ht="15.75" customHeight="1">
      <c r="A56" s="9"/>
      <c r="B56" s="9"/>
      <c r="C56" s="9"/>
      <c r="D56" s="9"/>
      <c r="E56" s="9"/>
      <c r="F56" s="9"/>
    </row>
    <row r="57" ht="15.75" customHeight="1">
      <c r="A57" s="9"/>
      <c r="B57" s="9"/>
      <c r="C57" s="9"/>
      <c r="D57" s="9"/>
      <c r="E57" s="9"/>
      <c r="F57" s="9"/>
    </row>
    <row r="58" ht="15.75" customHeight="1">
      <c r="A58" s="9"/>
      <c r="B58" s="9"/>
      <c r="C58" s="9"/>
      <c r="D58" s="9"/>
      <c r="E58" s="9"/>
      <c r="F58" s="9"/>
    </row>
    <row r="59" ht="15.75" customHeight="1">
      <c r="A59" s="9"/>
      <c r="B59" s="9"/>
      <c r="C59" s="9"/>
      <c r="D59" s="9"/>
      <c r="E59" s="9"/>
      <c r="F59" s="9"/>
    </row>
    <row r="60" ht="15.75" customHeight="1">
      <c r="A60" s="9"/>
      <c r="B60" s="9"/>
      <c r="C60" s="9"/>
      <c r="D60" s="9"/>
      <c r="E60" s="9"/>
      <c r="F60" s="9"/>
    </row>
    <row r="61" ht="15.75" customHeight="1">
      <c r="A61" s="9"/>
      <c r="B61" s="9"/>
      <c r="C61" s="9"/>
      <c r="D61" s="9"/>
      <c r="E61" s="9"/>
      <c r="F61" s="9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/>
      <c r="B63" s="9"/>
      <c r="C63" s="9"/>
      <c r="D63" s="9"/>
      <c r="E63" s="9"/>
      <c r="F63" s="9"/>
    </row>
    <row r="64" ht="15.75" customHeight="1">
      <c r="A64" s="9"/>
      <c r="B64" s="9"/>
      <c r="C64" s="9"/>
      <c r="D64" s="9"/>
      <c r="E64" s="9"/>
      <c r="F64" s="9"/>
    </row>
    <row r="65" ht="15.75" customHeight="1">
      <c r="A65" s="9"/>
      <c r="B65" s="9"/>
      <c r="C65" s="9"/>
      <c r="D65" s="9"/>
      <c r="E65" s="9"/>
      <c r="F65" s="9"/>
    </row>
    <row r="66" ht="15.75" customHeight="1">
      <c r="A66" s="9"/>
      <c r="B66" s="9"/>
      <c r="C66" s="9"/>
      <c r="D66" s="9"/>
      <c r="E66" s="9"/>
      <c r="F66" s="9"/>
    </row>
    <row r="67" ht="15.75" customHeight="1">
      <c r="A67" s="9"/>
      <c r="B67" s="9"/>
      <c r="C67" s="9"/>
      <c r="D67" s="9"/>
      <c r="E67" s="9"/>
      <c r="F67" s="9"/>
    </row>
    <row r="68" ht="15.75" customHeight="1">
      <c r="A68" s="9"/>
      <c r="B68" s="9"/>
      <c r="C68" s="9"/>
      <c r="D68" s="9"/>
      <c r="E68" s="9"/>
      <c r="F68" s="9"/>
    </row>
    <row r="69" ht="15.75" customHeight="1">
      <c r="A69" s="9"/>
      <c r="B69" s="9"/>
      <c r="C69" s="9"/>
      <c r="D69" s="9"/>
      <c r="E69" s="9"/>
      <c r="F69" s="9"/>
    </row>
    <row r="70" ht="15.75" customHeight="1">
      <c r="A70" s="9"/>
      <c r="B70" s="9"/>
      <c r="C70" s="9"/>
      <c r="D70" s="9"/>
      <c r="E70" s="9"/>
      <c r="F70" s="9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/>
      <c r="B72" s="9"/>
      <c r="C72" s="9"/>
      <c r="D72" s="9"/>
      <c r="E72" s="9"/>
      <c r="F72" s="9"/>
    </row>
    <row r="73" ht="15.75" customHeight="1">
      <c r="A73" s="9"/>
      <c r="B73" s="9"/>
      <c r="C73" s="9"/>
      <c r="D73" s="9"/>
      <c r="E73" s="9"/>
      <c r="F73" s="9"/>
    </row>
    <row r="74" ht="15.75" customHeight="1">
      <c r="A74" s="9"/>
      <c r="B74" s="9"/>
      <c r="C74" s="9"/>
      <c r="D74" s="9"/>
      <c r="E74" s="9"/>
      <c r="F74" s="9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/>
      <c r="B76" s="9"/>
      <c r="C76" s="9"/>
      <c r="D76" s="9"/>
      <c r="E76" s="9"/>
      <c r="F76" s="9"/>
    </row>
    <row r="77" ht="15.75" customHeight="1">
      <c r="A77" s="9"/>
      <c r="B77" s="9"/>
      <c r="C77" s="9"/>
      <c r="D77" s="9"/>
      <c r="E77" s="9"/>
      <c r="F77" s="9"/>
    </row>
    <row r="78" ht="15.75" customHeight="1">
      <c r="A78" s="9"/>
      <c r="B78" s="9"/>
      <c r="C78" s="9"/>
      <c r="D78" s="9"/>
      <c r="E78" s="9"/>
      <c r="F78" s="9"/>
    </row>
    <row r="79" ht="15.75" customHeight="1">
      <c r="A79" s="9"/>
      <c r="B79" s="9"/>
      <c r="C79" s="9"/>
      <c r="D79" s="9"/>
      <c r="E79" s="9"/>
      <c r="F79" s="9"/>
    </row>
    <row r="80" ht="15.75" customHeight="1">
      <c r="A80" s="9"/>
      <c r="B80" s="9"/>
      <c r="C80" s="9"/>
      <c r="D80" s="9"/>
      <c r="E80" s="9"/>
      <c r="F80" s="9"/>
    </row>
    <row r="81" ht="15.75" customHeight="1">
      <c r="A81" s="9"/>
      <c r="B81" s="9"/>
      <c r="C81" s="9"/>
      <c r="D81" s="9"/>
      <c r="E81" s="9"/>
      <c r="F81" s="9"/>
    </row>
    <row r="82" ht="15.75" customHeight="1">
      <c r="A82" s="9"/>
      <c r="B82" s="9"/>
      <c r="C82" s="9"/>
      <c r="D82" s="9"/>
      <c r="E82" s="9"/>
      <c r="F82" s="9"/>
    </row>
    <row r="83" ht="15.75" customHeight="1">
      <c r="A83" s="9"/>
      <c r="B83" s="9"/>
      <c r="C83" s="9"/>
      <c r="D83" s="9"/>
      <c r="E83" s="9"/>
      <c r="F83" s="9"/>
    </row>
    <row r="84" ht="15.75" customHeight="1">
      <c r="A84" s="9"/>
      <c r="B84" s="9"/>
      <c r="C84" s="9"/>
      <c r="D84" s="9"/>
      <c r="E84" s="9"/>
      <c r="F84" s="9"/>
    </row>
    <row r="85" ht="15.75" customHeight="1">
      <c r="A85" s="9"/>
      <c r="B85" s="9"/>
      <c r="C85" s="9"/>
      <c r="D85" s="9"/>
      <c r="E85" s="9"/>
      <c r="F85" s="9"/>
    </row>
    <row r="86" ht="15.75" customHeight="1">
      <c r="A86" s="9"/>
      <c r="B86" s="9"/>
      <c r="C86" s="9"/>
      <c r="D86" s="9"/>
      <c r="E86" s="9"/>
      <c r="F86" s="9"/>
    </row>
    <row r="87" ht="15.75" customHeight="1">
      <c r="A87" s="9"/>
      <c r="B87" s="9"/>
      <c r="C87" s="9"/>
      <c r="D87" s="9"/>
      <c r="E87" s="9"/>
      <c r="F87" s="9"/>
    </row>
    <row r="88" ht="15.75" customHeight="1">
      <c r="A88" s="9"/>
      <c r="B88" s="9"/>
      <c r="C88" s="9"/>
      <c r="D88" s="9"/>
      <c r="E88" s="9"/>
      <c r="F88" s="9"/>
    </row>
    <row r="89" ht="15.75" customHeight="1">
      <c r="A89" s="9"/>
      <c r="B89" s="9"/>
      <c r="C89" s="9"/>
      <c r="D89" s="9"/>
      <c r="E89" s="9"/>
      <c r="F89" s="9"/>
    </row>
    <row r="90" ht="15.75" customHeight="1">
      <c r="A90" s="9"/>
      <c r="B90" s="9"/>
      <c r="C90" s="9"/>
      <c r="D90" s="9"/>
      <c r="E90" s="9"/>
      <c r="F90" s="9"/>
    </row>
    <row r="91" ht="15.75" customHeight="1">
      <c r="A91" s="9"/>
      <c r="B91" s="9"/>
      <c r="C91" s="9"/>
      <c r="D91" s="9"/>
      <c r="E91" s="9"/>
      <c r="F91" s="9"/>
    </row>
    <row r="92" ht="15.75" customHeight="1">
      <c r="A92" s="9"/>
      <c r="B92" s="9"/>
      <c r="C92" s="9"/>
      <c r="D92" s="9"/>
      <c r="E92" s="9"/>
      <c r="F92" s="9"/>
    </row>
    <row r="93" ht="15.75" customHeight="1">
      <c r="A93" s="9"/>
      <c r="B93" s="9"/>
      <c r="C93" s="9"/>
      <c r="D93" s="9"/>
      <c r="E93" s="9"/>
      <c r="F93" s="9"/>
    </row>
    <row r="94" ht="15.75" customHeight="1">
      <c r="A94" s="9"/>
      <c r="B94" s="9"/>
      <c r="C94" s="9"/>
      <c r="D94" s="9"/>
      <c r="E94" s="9"/>
      <c r="F94" s="9"/>
    </row>
    <row r="95" ht="15.75" customHeight="1">
      <c r="A95" s="9"/>
      <c r="B95" s="9"/>
      <c r="C95" s="9"/>
      <c r="D95" s="9"/>
      <c r="E95" s="9"/>
      <c r="F95" s="9"/>
    </row>
    <row r="96" ht="15.75" customHeight="1">
      <c r="A96" s="9"/>
      <c r="B96" s="9"/>
      <c r="C96" s="9"/>
      <c r="D96" s="9"/>
      <c r="E96" s="9"/>
      <c r="F96" s="9"/>
    </row>
    <row r="97" ht="15.75" customHeight="1">
      <c r="A97" s="9"/>
      <c r="B97" s="9"/>
      <c r="C97" s="9"/>
      <c r="D97" s="9"/>
      <c r="E97" s="9"/>
      <c r="F97" s="9"/>
    </row>
    <row r="98" ht="15.75" customHeight="1">
      <c r="A98" s="9"/>
      <c r="B98" s="9"/>
      <c r="C98" s="9"/>
      <c r="D98" s="9"/>
      <c r="E98" s="9"/>
      <c r="F98" s="9"/>
    </row>
    <row r="99" ht="15.75" customHeight="1">
      <c r="A99" s="9"/>
      <c r="B99" s="9"/>
      <c r="C99" s="9"/>
      <c r="D99" s="9"/>
      <c r="E99" s="9"/>
      <c r="F99" s="9"/>
    </row>
    <row r="100" ht="15.75" customHeight="1">
      <c r="A100" s="9"/>
      <c r="B100" s="9"/>
      <c r="C100" s="9"/>
      <c r="D100" s="9"/>
      <c r="E100" s="9"/>
      <c r="F100" s="9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F1"/>
    <mergeCell ref="A2:F2"/>
    <mergeCell ref="A9:F9"/>
    <mergeCell ref="C10:F10"/>
    <mergeCell ref="C11:F1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16.0"/>
    <col customWidth="1" min="4" max="6" width="18.0"/>
    <col customWidth="1" min="7" max="8" width="16.0"/>
    <col customWidth="1" min="9" max="9" width="12.0"/>
  </cols>
  <sheetData>
    <row r="1" ht="36.0" customHeight="1">
      <c r="A1" s="248" t="s">
        <v>477</v>
      </c>
      <c r="B1" s="2"/>
      <c r="C1" s="2"/>
      <c r="D1" s="2"/>
      <c r="E1" s="2"/>
      <c r="F1" s="2"/>
      <c r="G1" s="2"/>
      <c r="H1" s="2"/>
      <c r="I1" s="4"/>
    </row>
    <row r="2" ht="21.75" customHeight="1">
      <c r="A2" s="249" t="s">
        <v>478</v>
      </c>
      <c r="B2" s="2"/>
      <c r="C2" s="2"/>
      <c r="D2" s="2"/>
      <c r="E2" s="2"/>
      <c r="F2" s="2"/>
      <c r="G2" s="2"/>
      <c r="H2" s="2"/>
      <c r="I2" s="4"/>
    </row>
    <row r="3" ht="9.75" customHeight="1">
      <c r="A3" s="9"/>
      <c r="B3" s="9"/>
      <c r="C3" s="9"/>
      <c r="D3" s="9"/>
      <c r="E3" s="9"/>
      <c r="F3" s="9"/>
      <c r="G3" s="9"/>
      <c r="H3" s="9"/>
      <c r="I3" s="9"/>
    </row>
    <row r="4" ht="30.0" customHeight="1">
      <c r="A4" s="250" t="s">
        <v>479</v>
      </c>
      <c r="B4" s="251">
        <v>0.0353</v>
      </c>
      <c r="C4" s="245"/>
      <c r="D4" s="252" t="s">
        <v>480</v>
      </c>
      <c r="E4" s="244"/>
      <c r="F4" s="244"/>
      <c r="G4" s="244"/>
      <c r="H4" s="244"/>
      <c r="I4" s="245"/>
    </row>
    <row r="5" ht="9.75" customHeight="1">
      <c r="A5" s="9"/>
      <c r="B5" s="9"/>
      <c r="C5" s="9"/>
      <c r="D5" s="9"/>
      <c r="E5" s="9"/>
      <c r="F5" s="9"/>
      <c r="G5" s="9"/>
      <c r="H5" s="9"/>
      <c r="I5" s="9"/>
    </row>
    <row r="6" ht="25.5" customHeight="1">
      <c r="A6" s="253" t="s">
        <v>481</v>
      </c>
      <c r="B6" s="2"/>
      <c r="C6" s="2"/>
      <c r="D6" s="2"/>
      <c r="E6" s="2"/>
      <c r="F6" s="2"/>
      <c r="G6" s="2"/>
      <c r="H6" s="2"/>
      <c r="I6" s="4"/>
    </row>
    <row r="7" ht="24.0" customHeight="1">
      <c r="A7" s="254" t="s">
        <v>482</v>
      </c>
      <c r="B7" s="254" t="s">
        <v>483</v>
      </c>
      <c r="C7" s="254" t="s">
        <v>484</v>
      </c>
      <c r="D7" s="254" t="s">
        <v>485</v>
      </c>
      <c r="E7" s="254" t="s">
        <v>486</v>
      </c>
      <c r="F7" s="254" t="s">
        <v>487</v>
      </c>
      <c r="G7" s="9"/>
      <c r="H7" s="9"/>
      <c r="I7" s="9"/>
    </row>
    <row r="8" ht="24.0" customHeight="1">
      <c r="A8" s="255" t="s">
        <v>488</v>
      </c>
      <c r="B8" s="67">
        <v>14855.99</v>
      </c>
      <c r="C8" s="256">
        <f>B4</f>
        <v>0.0353</v>
      </c>
      <c r="D8" s="257">
        <f t="shared" ref="D8:D10" si="1">B8*$B$4</f>
        <v>524.416447</v>
      </c>
      <c r="E8" s="61" t="s">
        <v>489</v>
      </c>
      <c r="F8" s="258" t="s">
        <v>490</v>
      </c>
      <c r="G8" s="9"/>
      <c r="H8" s="9"/>
      <c r="I8" s="9"/>
    </row>
    <row r="9" ht="24.0" customHeight="1">
      <c r="A9" s="259" t="s">
        <v>491</v>
      </c>
      <c r="B9" s="76">
        <v>14101.26</v>
      </c>
      <c r="C9" s="260">
        <f>B4</f>
        <v>0.0353</v>
      </c>
      <c r="D9" s="261">
        <f t="shared" si="1"/>
        <v>497.774478</v>
      </c>
      <c r="E9" s="75" t="s">
        <v>492</v>
      </c>
      <c r="F9" s="258" t="s">
        <v>490</v>
      </c>
      <c r="G9" s="9"/>
      <c r="H9" s="9"/>
      <c r="I9" s="9"/>
    </row>
    <row r="10" ht="24.0" customHeight="1">
      <c r="A10" s="255" t="s">
        <v>83</v>
      </c>
      <c r="B10" s="67">
        <v>20811.21</v>
      </c>
      <c r="C10" s="256">
        <f>B4</f>
        <v>0.0353</v>
      </c>
      <c r="D10" s="257">
        <f t="shared" si="1"/>
        <v>734.635713</v>
      </c>
      <c r="E10" s="61" t="s">
        <v>493</v>
      </c>
      <c r="F10" s="258" t="s">
        <v>490</v>
      </c>
      <c r="G10" s="9"/>
      <c r="H10" s="9"/>
      <c r="I10" s="9"/>
    </row>
    <row r="11" ht="24.0" customHeight="1">
      <c r="A11" s="262" t="s">
        <v>494</v>
      </c>
      <c r="B11" s="263" t="s">
        <v>495</v>
      </c>
      <c r="C11" s="264" t="s">
        <v>496</v>
      </c>
      <c r="D11" s="265">
        <f t="shared" ref="D11:D12" si="2">IF(ISNUMBER(B11),B11*$B$4,0)</f>
        <v>0</v>
      </c>
      <c r="E11" s="262" t="s">
        <v>497</v>
      </c>
      <c r="F11" s="266" t="s">
        <v>398</v>
      </c>
      <c r="G11" s="9"/>
      <c r="H11" s="9"/>
      <c r="I11" s="9"/>
    </row>
    <row r="12" ht="24.0" customHeight="1">
      <c r="A12" s="262" t="s">
        <v>498</v>
      </c>
      <c r="B12" s="263" t="s">
        <v>495</v>
      </c>
      <c r="C12" s="264" t="s">
        <v>496</v>
      </c>
      <c r="D12" s="265">
        <f t="shared" si="2"/>
        <v>0</v>
      </c>
      <c r="E12" s="262" t="s">
        <v>499</v>
      </c>
      <c r="F12" s="266" t="s">
        <v>398</v>
      </c>
      <c r="G12" s="9"/>
      <c r="H12" s="9"/>
      <c r="I12" s="9"/>
    </row>
    <row r="13" ht="12.0" customHeight="1">
      <c r="A13" s="9"/>
      <c r="B13" s="9"/>
      <c r="C13" s="9"/>
      <c r="D13" s="9"/>
      <c r="E13" s="9"/>
      <c r="F13" s="9"/>
      <c r="G13" s="9"/>
      <c r="H13" s="9"/>
      <c r="I13" s="9"/>
    </row>
    <row r="14" ht="25.5" customHeight="1">
      <c r="A14" s="267" t="s">
        <v>500</v>
      </c>
      <c r="B14" s="2"/>
      <c r="C14" s="2"/>
      <c r="D14" s="2"/>
      <c r="E14" s="2"/>
      <c r="F14" s="2"/>
      <c r="G14" s="2"/>
      <c r="H14" s="2"/>
      <c r="I14" s="4"/>
    </row>
    <row r="15" ht="24.0" customHeight="1">
      <c r="A15" s="268" t="s">
        <v>35</v>
      </c>
      <c r="B15" s="268" t="s">
        <v>501</v>
      </c>
      <c r="C15" s="268" t="s">
        <v>47</v>
      </c>
      <c r="D15" s="268" t="s">
        <v>502</v>
      </c>
      <c r="E15" s="268" t="s">
        <v>503</v>
      </c>
      <c r="F15" s="268" t="s">
        <v>504</v>
      </c>
      <c r="G15" s="268" t="s">
        <v>505</v>
      </c>
      <c r="H15" s="268" t="s">
        <v>506</v>
      </c>
      <c r="I15" s="268" t="s">
        <v>507</v>
      </c>
    </row>
    <row r="16" ht="21.75" customHeight="1">
      <c r="A16" s="269" t="s">
        <v>59</v>
      </c>
      <c r="B16" s="269" t="s">
        <v>508</v>
      </c>
      <c r="C16" s="270">
        <v>46130.0</v>
      </c>
      <c r="D16" s="271">
        <v>8919.09</v>
      </c>
      <c r="E16" s="272">
        <v>935.612541</v>
      </c>
      <c r="F16" s="273">
        <v>8915.0</v>
      </c>
      <c r="G16" s="274">
        <v>314.843877</v>
      </c>
      <c r="H16" s="271">
        <v>620.768664</v>
      </c>
      <c r="I16" s="16" t="s">
        <v>393</v>
      </c>
    </row>
    <row r="17" ht="21.75" customHeight="1">
      <c r="A17" s="275" t="s">
        <v>59</v>
      </c>
      <c r="B17" s="275" t="s">
        <v>509</v>
      </c>
      <c r="C17" s="276">
        <v>46135.0</v>
      </c>
      <c r="D17" s="277">
        <v>11892.12</v>
      </c>
      <c r="E17" s="278">
        <v>2109.662088</v>
      </c>
      <c r="F17" s="279">
        <v>9782.82</v>
      </c>
      <c r="G17" s="274">
        <v>419.791836</v>
      </c>
      <c r="H17" s="277">
        <v>1689.870252</v>
      </c>
      <c r="I17" s="16" t="s">
        <v>393</v>
      </c>
    </row>
    <row r="18" ht="21.75" customHeight="1">
      <c r="A18" s="269" t="s">
        <v>91</v>
      </c>
      <c r="B18" s="269" t="s">
        <v>510</v>
      </c>
      <c r="C18" s="270">
        <v>46172.0</v>
      </c>
      <c r="D18" s="271">
        <v>5000.0</v>
      </c>
      <c r="E18" s="272">
        <v>524.5</v>
      </c>
      <c r="F18" s="273">
        <v>4475.5</v>
      </c>
      <c r="G18" s="274">
        <v>176.5</v>
      </c>
      <c r="H18" s="271">
        <v>348.0</v>
      </c>
      <c r="I18" s="280" t="s">
        <v>398</v>
      </c>
    </row>
    <row r="19" ht="21.75" customHeight="1">
      <c r="A19" s="275" t="s">
        <v>91</v>
      </c>
      <c r="B19" s="275" t="s">
        <v>511</v>
      </c>
      <c r="C19" s="276">
        <v>46051.0</v>
      </c>
      <c r="D19" s="277">
        <v>14855.99</v>
      </c>
      <c r="E19" s="278">
        <v>1558.393351</v>
      </c>
      <c r="F19" s="279">
        <v>13297.6</v>
      </c>
      <c r="G19" s="274">
        <v>524.416447</v>
      </c>
      <c r="H19" s="277">
        <v>1033.976904</v>
      </c>
      <c r="I19" s="16" t="s">
        <v>393</v>
      </c>
    </row>
    <row r="20" ht="21.75" customHeight="1">
      <c r="A20" s="269" t="s">
        <v>91</v>
      </c>
      <c r="B20" s="269" t="s">
        <v>512</v>
      </c>
      <c r="C20" s="270">
        <v>46172.0</v>
      </c>
      <c r="D20" s="271">
        <v>13992.17</v>
      </c>
      <c r="E20" s="272">
        <v>1467.778633</v>
      </c>
      <c r="F20" s="273">
        <v>12524.39</v>
      </c>
      <c r="G20" s="274">
        <v>493.923601</v>
      </c>
      <c r="H20" s="271">
        <v>973.855032</v>
      </c>
      <c r="I20" s="280" t="s">
        <v>398</v>
      </c>
    </row>
    <row r="21" ht="21.75" customHeight="1">
      <c r="A21" s="275" t="s">
        <v>91</v>
      </c>
      <c r="B21" s="275" t="s">
        <v>513</v>
      </c>
      <c r="C21" s="276">
        <v>46172.0</v>
      </c>
      <c r="D21" s="277">
        <v>13896.42</v>
      </c>
      <c r="E21" s="278">
        <v>1457.734458</v>
      </c>
      <c r="F21" s="279">
        <v>12438.69</v>
      </c>
      <c r="G21" s="274">
        <v>490.543626</v>
      </c>
      <c r="H21" s="277">
        <v>967.190832</v>
      </c>
      <c r="I21" s="280" t="s">
        <v>398</v>
      </c>
    </row>
    <row r="22" ht="21.75" customHeight="1">
      <c r="A22" s="269" t="s">
        <v>116</v>
      </c>
      <c r="B22" s="269" t="s">
        <v>514</v>
      </c>
      <c r="C22" s="270">
        <v>46129.0</v>
      </c>
      <c r="D22" s="271">
        <v>14101.26</v>
      </c>
      <c r="E22" s="272">
        <v>1128.1008</v>
      </c>
      <c r="F22" s="273">
        <v>12973.16</v>
      </c>
      <c r="G22" s="274">
        <v>497.774478</v>
      </c>
      <c r="H22" s="271">
        <v>630.326322</v>
      </c>
      <c r="I22" s="16" t="s">
        <v>393</v>
      </c>
    </row>
    <row r="23" ht="21.75" customHeight="1">
      <c r="A23" s="275" t="s">
        <v>53</v>
      </c>
      <c r="B23" s="275" t="s">
        <v>517</v>
      </c>
      <c r="C23" s="276">
        <v>46172.0</v>
      </c>
      <c r="D23" s="277">
        <v>14000.0</v>
      </c>
      <c r="E23" s="278">
        <v>1468.6</v>
      </c>
      <c r="F23" s="279">
        <v>12531.4</v>
      </c>
      <c r="G23" s="274">
        <v>494.2</v>
      </c>
      <c r="H23" s="277">
        <v>974.4</v>
      </c>
      <c r="I23" s="280" t="s">
        <v>398</v>
      </c>
    </row>
    <row r="24" ht="21.75" customHeight="1">
      <c r="A24" s="269" t="s">
        <v>53</v>
      </c>
      <c r="B24" s="269" t="s">
        <v>519</v>
      </c>
      <c r="C24" s="270">
        <v>46172.0</v>
      </c>
      <c r="D24" s="271">
        <v>20240.69</v>
      </c>
      <c r="E24" s="272">
        <v>2123.248381</v>
      </c>
      <c r="F24" s="273">
        <v>18117.44</v>
      </c>
      <c r="G24" s="274">
        <v>714.496357</v>
      </c>
      <c r="H24" s="271">
        <v>1408.752024</v>
      </c>
      <c r="I24" s="280" t="s">
        <v>398</v>
      </c>
    </row>
    <row r="25" ht="21.75" customHeight="1">
      <c r="A25" s="275" t="s">
        <v>53</v>
      </c>
      <c r="B25" s="275" t="s">
        <v>523</v>
      </c>
      <c r="C25" s="276">
        <v>46172.0</v>
      </c>
      <c r="D25" s="277">
        <v>18960.09</v>
      </c>
      <c r="E25" s="278">
        <v>1988.913441</v>
      </c>
      <c r="F25" s="279">
        <v>16971.18</v>
      </c>
      <c r="G25" s="274">
        <v>669.291177</v>
      </c>
      <c r="H25" s="277">
        <v>1319.622264</v>
      </c>
      <c r="I25" s="280" t="s">
        <v>398</v>
      </c>
    </row>
    <row r="26" ht="21.75" customHeight="1">
      <c r="A26" s="269" t="s">
        <v>53</v>
      </c>
      <c r="B26" s="269" t="s">
        <v>530</v>
      </c>
      <c r="C26" s="270">
        <v>46157.0</v>
      </c>
      <c r="D26" s="271">
        <v>30439.94</v>
      </c>
      <c r="E26" s="272">
        <v>3193.149706</v>
      </c>
      <c r="F26" s="273">
        <v>27246.79</v>
      </c>
      <c r="G26" s="274">
        <v>1074.529882</v>
      </c>
      <c r="H26" s="271">
        <v>2118.619824</v>
      </c>
      <c r="I26" s="280" t="s">
        <v>398</v>
      </c>
    </row>
    <row r="27" ht="21.75" customHeight="1">
      <c r="A27" s="275" t="s">
        <v>53</v>
      </c>
      <c r="B27" s="275" t="s">
        <v>533</v>
      </c>
      <c r="C27" s="276">
        <v>46150.0</v>
      </c>
      <c r="D27" s="277">
        <v>24884.86</v>
      </c>
      <c r="E27" s="278">
        <v>2610.421814</v>
      </c>
      <c r="F27" s="279">
        <v>22274.44</v>
      </c>
      <c r="G27" s="274">
        <v>878.435558</v>
      </c>
      <c r="H27" s="277">
        <v>1731.986256</v>
      </c>
      <c r="I27" s="280" t="s">
        <v>398</v>
      </c>
    </row>
    <row r="28" ht="21.75" customHeight="1">
      <c r="A28" s="269" t="s">
        <v>53</v>
      </c>
      <c r="B28" s="269" t="s">
        <v>539</v>
      </c>
      <c r="C28" s="270">
        <v>46173.0</v>
      </c>
      <c r="D28" s="271">
        <v>22391.48</v>
      </c>
      <c r="E28" s="272">
        <v>790.419244</v>
      </c>
      <c r="F28" s="273">
        <v>21601.06</v>
      </c>
      <c r="G28" s="274">
        <v>790.419244</v>
      </c>
      <c r="H28" s="284">
        <v>0.0</v>
      </c>
      <c r="I28" s="280" t="s">
        <v>398</v>
      </c>
    </row>
    <row r="29" ht="25.5" customHeight="1">
      <c r="A29" s="285" t="s">
        <v>182</v>
      </c>
      <c r="B29" s="2"/>
      <c r="C29" s="4"/>
      <c r="D29" s="286">
        <f t="shared" ref="D29:H29" si="3">SUM(D16:D28)</f>
        <v>213574.11</v>
      </c>
      <c r="E29" s="286">
        <f t="shared" si="3"/>
        <v>21356.53446</v>
      </c>
      <c r="F29" s="286">
        <f t="shared" si="3"/>
        <v>193149.47</v>
      </c>
      <c r="G29" s="286">
        <f t="shared" si="3"/>
        <v>7539.166083</v>
      </c>
      <c r="H29" s="286">
        <f t="shared" si="3"/>
        <v>13817.36837</v>
      </c>
      <c r="I29" s="287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31.5" customHeight="1">
      <c r="A31" s="288" t="s">
        <v>541</v>
      </c>
      <c r="B31" s="2"/>
      <c r="C31" s="2"/>
      <c r="D31" s="2"/>
      <c r="E31" s="2"/>
      <c r="F31" s="2"/>
      <c r="G31" s="2"/>
      <c r="H31" s="2"/>
      <c r="I31" s="4"/>
    </row>
    <row r="32" ht="21.75" customHeight="1">
      <c r="A32" s="289" t="s">
        <v>542</v>
      </c>
      <c r="B32" s="2"/>
      <c r="C32" s="2"/>
      <c r="D32" s="2"/>
      <c r="E32" s="2"/>
      <c r="F32" s="2"/>
      <c r="G32" s="2"/>
      <c r="H32" s="2"/>
      <c r="I32" s="4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I31"/>
    <mergeCell ref="A32:I32"/>
    <mergeCell ref="A1:I1"/>
    <mergeCell ref="A2:I2"/>
    <mergeCell ref="B4:C4"/>
    <mergeCell ref="D4:I4"/>
    <mergeCell ref="A6:I6"/>
    <mergeCell ref="A14:I14"/>
    <mergeCell ref="A29:C2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5555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5" width="20.0"/>
    <col customWidth="1" min="6" max="6" width="8.71"/>
  </cols>
  <sheetData>
    <row r="1" ht="33.75" customHeight="1">
      <c r="A1" s="3" t="s">
        <v>515</v>
      </c>
      <c r="B1" s="2"/>
      <c r="C1" s="2"/>
      <c r="D1" s="2"/>
      <c r="E1" s="4"/>
    </row>
    <row r="2" ht="27.75" customHeight="1">
      <c r="A2" s="281" t="s">
        <v>516</v>
      </c>
      <c r="B2" s="2"/>
      <c r="C2" s="2"/>
      <c r="D2" s="2"/>
      <c r="E2" s="4"/>
    </row>
    <row r="3" ht="30.0" customHeight="1">
      <c r="A3" s="161" t="s">
        <v>518</v>
      </c>
      <c r="B3" s="282" t="s">
        <v>520</v>
      </c>
      <c r="C3" s="244"/>
      <c r="D3" s="244"/>
      <c r="E3" s="245"/>
    </row>
    <row r="4" ht="30.0" customHeight="1">
      <c r="A4" s="161" t="s">
        <v>521</v>
      </c>
      <c r="B4" s="283" t="s">
        <v>522</v>
      </c>
      <c r="C4" s="244"/>
      <c r="D4" s="244"/>
      <c r="E4" s="245"/>
    </row>
    <row r="5" ht="30.0" customHeight="1">
      <c r="A5" s="161" t="s">
        <v>524</v>
      </c>
      <c r="B5" s="282" t="s">
        <v>525</v>
      </c>
      <c r="C5" s="244"/>
      <c r="D5" s="244"/>
      <c r="E5" s="245"/>
    </row>
    <row r="6" ht="30.0" customHeight="1">
      <c r="A6" s="161" t="s">
        <v>526</v>
      </c>
      <c r="B6" s="283" t="s">
        <v>527</v>
      </c>
      <c r="C6" s="244"/>
      <c r="D6" s="244"/>
      <c r="E6" s="245"/>
    </row>
    <row r="7" ht="30.0" customHeight="1">
      <c r="A7" s="161" t="s">
        <v>528</v>
      </c>
      <c r="B7" s="282" t="s">
        <v>529</v>
      </c>
      <c r="C7" s="244"/>
      <c r="D7" s="244"/>
      <c r="E7" s="245"/>
    </row>
    <row r="8" ht="30.0" customHeight="1">
      <c r="A8" s="161" t="s">
        <v>531</v>
      </c>
      <c r="B8" s="283" t="s">
        <v>532</v>
      </c>
      <c r="C8" s="244"/>
      <c r="D8" s="244"/>
      <c r="E8" s="245"/>
    </row>
    <row r="9" ht="30.0" customHeight="1">
      <c r="A9" s="161" t="s">
        <v>534</v>
      </c>
      <c r="B9" s="282" t="s">
        <v>535</v>
      </c>
      <c r="C9" s="244"/>
      <c r="D9" s="244"/>
      <c r="E9" s="245"/>
    </row>
    <row r="10" ht="30.0" customHeight="1">
      <c r="A10" s="161" t="s">
        <v>536</v>
      </c>
      <c r="B10" s="283" t="s">
        <v>537</v>
      </c>
      <c r="C10" s="244"/>
      <c r="D10" s="244"/>
      <c r="E10" s="245"/>
    </row>
    <row r="11" ht="30.0" customHeight="1">
      <c r="A11" s="161" t="s">
        <v>538</v>
      </c>
      <c r="B11" s="282" t="s">
        <v>540</v>
      </c>
      <c r="C11" s="244"/>
      <c r="D11" s="244"/>
      <c r="E11" s="245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  <row r="21" ht="15.75" customHeight="1">
      <c r="A21" s="9"/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9"/>
      <c r="B23" s="9"/>
      <c r="C23" s="9"/>
      <c r="D23" s="9"/>
      <c r="E23" s="9"/>
    </row>
    <row r="24" ht="15.75" customHeight="1">
      <c r="A24" s="9"/>
      <c r="B24" s="9"/>
      <c r="C24" s="9"/>
      <c r="D24" s="9"/>
      <c r="E24" s="9"/>
    </row>
    <row r="25" ht="15.75" customHeight="1">
      <c r="A25" s="9"/>
      <c r="B25" s="9"/>
      <c r="C25" s="9"/>
      <c r="D25" s="9"/>
      <c r="E25" s="9"/>
    </row>
    <row r="26" ht="15.75" customHeight="1">
      <c r="A26" s="9"/>
      <c r="B26" s="9"/>
      <c r="C26" s="9"/>
      <c r="D26" s="9"/>
      <c r="E26" s="9"/>
    </row>
    <row r="27" ht="15.75" customHeight="1">
      <c r="A27" s="9"/>
      <c r="B27" s="9"/>
      <c r="C27" s="9"/>
      <c r="D27" s="9"/>
      <c r="E27" s="9"/>
    </row>
    <row r="28" ht="15.75" customHeight="1">
      <c r="A28" s="9"/>
      <c r="B28" s="9"/>
      <c r="C28" s="9"/>
      <c r="D28" s="9"/>
      <c r="E28" s="9"/>
    </row>
    <row r="29" ht="15.75" customHeight="1">
      <c r="A29" s="9"/>
      <c r="B29" s="9"/>
      <c r="C29" s="9"/>
      <c r="D29" s="9"/>
      <c r="E29" s="9"/>
    </row>
    <row r="30" ht="15.75" customHeight="1">
      <c r="A30" s="9"/>
      <c r="B30" s="9"/>
      <c r="C30" s="9"/>
      <c r="D30" s="9"/>
      <c r="E30" s="9"/>
    </row>
    <row r="31" ht="15.75" customHeight="1">
      <c r="A31" s="9"/>
      <c r="B31" s="9"/>
      <c r="C31" s="9"/>
      <c r="D31" s="9"/>
      <c r="E31" s="9"/>
    </row>
    <row r="32" ht="15.75" customHeight="1">
      <c r="A32" s="9"/>
      <c r="B32" s="9"/>
      <c r="C32" s="9"/>
      <c r="D32" s="9"/>
      <c r="E32" s="9"/>
    </row>
    <row r="33" ht="15.75" customHeight="1">
      <c r="A33" s="9"/>
      <c r="B33" s="9"/>
      <c r="C33" s="9"/>
      <c r="D33" s="9"/>
      <c r="E33" s="9"/>
    </row>
    <row r="34" ht="15.75" customHeight="1">
      <c r="A34" s="9"/>
      <c r="B34" s="9"/>
      <c r="C34" s="9"/>
      <c r="D34" s="9"/>
      <c r="E34" s="9"/>
    </row>
    <row r="35" ht="15.75" customHeight="1">
      <c r="A35" s="9"/>
      <c r="B35" s="9"/>
      <c r="C35" s="9"/>
      <c r="D35" s="9"/>
      <c r="E35" s="9"/>
    </row>
    <row r="36" ht="15.75" customHeight="1">
      <c r="A36" s="9"/>
      <c r="B36" s="9"/>
      <c r="C36" s="9"/>
      <c r="D36" s="9"/>
      <c r="E36" s="9"/>
    </row>
    <row r="37" ht="15.75" customHeight="1">
      <c r="A37" s="9"/>
      <c r="B37" s="9"/>
      <c r="C37" s="9"/>
      <c r="D37" s="9"/>
      <c r="E37" s="9"/>
    </row>
    <row r="38" ht="15.75" customHeight="1">
      <c r="A38" s="9"/>
      <c r="B38" s="9"/>
      <c r="C38" s="9"/>
      <c r="D38" s="9"/>
      <c r="E38" s="9"/>
    </row>
    <row r="39" ht="15.75" customHeight="1">
      <c r="A39" s="9"/>
      <c r="B39" s="9"/>
      <c r="C39" s="9"/>
      <c r="D39" s="9"/>
      <c r="E39" s="9"/>
    </row>
    <row r="40" ht="15.75" customHeight="1">
      <c r="A40" s="9"/>
      <c r="B40" s="9"/>
      <c r="C40" s="9"/>
      <c r="D40" s="9"/>
      <c r="E40" s="9"/>
    </row>
    <row r="41" ht="15.75" customHeight="1">
      <c r="A41" s="9"/>
      <c r="B41" s="9"/>
      <c r="C41" s="9"/>
      <c r="D41" s="9"/>
      <c r="E41" s="9"/>
    </row>
    <row r="42" ht="15.75" customHeight="1">
      <c r="A42" s="9"/>
      <c r="B42" s="9"/>
      <c r="C42" s="9"/>
      <c r="D42" s="9"/>
      <c r="E42" s="9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E8"/>
    <mergeCell ref="B9:E9"/>
    <mergeCell ref="B10:E10"/>
    <mergeCell ref="B11:E11"/>
    <mergeCell ref="A1:E1"/>
    <mergeCell ref="A2:E2"/>
    <mergeCell ref="B3:E3"/>
    <mergeCell ref="B4:E4"/>
    <mergeCell ref="B5:E5"/>
    <mergeCell ref="B6:E6"/>
    <mergeCell ref="B7:E7"/>
  </mergeCells>
  <printOptions/>
  <pageMargins bottom="1.0" footer="0.0" header="0.0" left="0.75" right="0.75" top="1.0"/>
  <pageSetup paperSize="9" orientation="portrait"/>
  <drawing r:id="rId1"/>
</worksheet>
</file>